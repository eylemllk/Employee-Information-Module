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E757BCB4-07E6-AE0B-56E0-F0EEF7A6E26C}"/>
  <workbookPr codeName="BuÇalışmaKitabı" hidePivotFieldList="1"/>
  <mc:AlternateContent xmlns:mc="http://schemas.openxmlformats.org/markup-compatibility/2006">
    <mc:Choice Requires="x15">
      <x15ac:absPath xmlns:x15ac="http://schemas.microsoft.com/office/spreadsheetml/2010/11/ac" url="C:\Users\eylem\OneDrive\Masaüstü\Yeni klasör\"/>
    </mc:Choice>
  </mc:AlternateContent>
  <xr:revisionPtr revIDLastSave="0" documentId="13_ncr:1_{C412D168-CD84-41CB-B79E-3DDE0E8E2B2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Giris" sheetId="1" r:id="rId1"/>
    <sheet name="personelBilgi" sheetId="2" r:id="rId2"/>
    <sheet name="Personel Takip" sheetId="7" r:id="rId3"/>
    <sheet name="Personel Değerlendirme" sheetId="6" r:id="rId4"/>
    <sheet name="Raporlar" sheetId="4" r:id="rId5"/>
  </sheet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2" l="1"/>
  <c r="J4" i="2" s="1"/>
  <c r="K4" i="2" s="1"/>
  <c r="L4" i="2"/>
  <c r="L2" i="2"/>
  <c r="E6" i="7"/>
  <c r="E5" i="7"/>
  <c r="L3" i="2" s="1"/>
  <c r="E4" i="7"/>
  <c r="I2" i="2"/>
  <c r="J2" i="2" s="1"/>
  <c r="I3" i="2"/>
  <c r="J3" i="2" s="1"/>
  <c r="K3" i="2" s="1"/>
  <c r="C3" i="6"/>
  <c r="O2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K3" i="6"/>
  <c r="L3" i="6"/>
  <c r="M3" i="6"/>
  <c r="N3" i="6"/>
  <c r="J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3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K2" i="2" l="1"/>
  <c r="O17" i="6"/>
  <c r="O9" i="6"/>
  <c r="O16" i="6"/>
  <c r="O20" i="6"/>
  <c r="O12" i="6"/>
  <c r="O4" i="6"/>
  <c r="O7" i="6"/>
  <c r="O6" i="6"/>
  <c r="O21" i="6"/>
  <c r="O13" i="6"/>
  <c r="O5" i="6"/>
  <c r="O14" i="6"/>
  <c r="O15" i="6"/>
  <c r="O22" i="6"/>
  <c r="I18" i="6"/>
  <c r="I10" i="6"/>
  <c r="O19" i="6"/>
  <c r="O11" i="6"/>
  <c r="O18" i="6"/>
  <c r="O10" i="6"/>
  <c r="O8" i="6"/>
  <c r="I3" i="6"/>
  <c r="I17" i="6"/>
  <c r="I9" i="6"/>
  <c r="I16" i="6"/>
  <c r="I8" i="6"/>
  <c r="I22" i="6"/>
  <c r="I14" i="6"/>
  <c r="I6" i="6"/>
  <c r="I21" i="6"/>
  <c r="I13" i="6"/>
  <c r="I5" i="6"/>
  <c r="I20" i="6"/>
  <c r="I12" i="6"/>
  <c r="I4" i="6"/>
  <c r="I23" i="6"/>
  <c r="I15" i="6"/>
  <c r="I7" i="6"/>
  <c r="I19" i="6"/>
  <c r="I11" i="6"/>
</calcChain>
</file>

<file path=xl/sharedStrings.xml><?xml version="1.0" encoding="utf-8"?>
<sst xmlns="http://schemas.openxmlformats.org/spreadsheetml/2006/main" count="114" uniqueCount="81">
  <si>
    <t>Kadın</t>
  </si>
  <si>
    <t>Yönetim Departmanı</t>
  </si>
  <si>
    <t>CEO</t>
  </si>
  <si>
    <t>Müdür</t>
  </si>
  <si>
    <t>İlayda Özmen</t>
  </si>
  <si>
    <t>Eylem Lalek</t>
  </si>
  <si>
    <t>Hasan Koç</t>
  </si>
  <si>
    <t>Erkek</t>
  </si>
  <si>
    <t>Pazarlama Departmanı</t>
  </si>
  <si>
    <t>Muttalip Köse</t>
  </si>
  <si>
    <t>Genel Sekreterlik</t>
  </si>
  <si>
    <t>Ceren Erdeğer</t>
  </si>
  <si>
    <t>Hukuk Departmanı</t>
  </si>
  <si>
    <t xml:space="preserve">Can Hakan </t>
  </si>
  <si>
    <t>IT Departmanı</t>
  </si>
  <si>
    <t>Tunahan Gün</t>
  </si>
  <si>
    <t>Muhasebe Departmanı</t>
  </si>
  <si>
    <t>Geylani Sevinç</t>
  </si>
  <si>
    <t>Ar-ge Departmanı</t>
  </si>
  <si>
    <t>Cenk Adıgüzel</t>
  </si>
  <si>
    <t>Finans Departmanı</t>
  </si>
  <si>
    <t>Rümeysa Göksu</t>
  </si>
  <si>
    <t>Sadi Esen</t>
  </si>
  <si>
    <t>Üretim Departmanı</t>
  </si>
  <si>
    <t>Eren Köse</t>
  </si>
  <si>
    <t>Çağla Hür</t>
  </si>
  <si>
    <t>Azra Çelik</t>
  </si>
  <si>
    <t>Ömer Göçer</t>
  </si>
  <si>
    <t>İnsan Kaynakları Departmanı</t>
  </si>
  <si>
    <t>Akın Akyüz</t>
  </si>
  <si>
    <t>Hilal Adlim</t>
  </si>
  <si>
    <t>Bahar Aslı</t>
  </si>
  <si>
    <t>Ahmet Çelikkol</t>
  </si>
  <si>
    <t>Hakkı Ali Doğan</t>
  </si>
  <si>
    <t>Mualla Gündüz</t>
  </si>
  <si>
    <t>Sütun1</t>
  </si>
  <si>
    <t>Sütun3</t>
  </si>
  <si>
    <t>Sütun4</t>
  </si>
  <si>
    <t>Sütun5</t>
  </si>
  <si>
    <t>Sütun6</t>
  </si>
  <si>
    <t>Sütun7</t>
  </si>
  <si>
    <t>Sütun8</t>
  </si>
  <si>
    <t>Sütun9</t>
  </si>
  <si>
    <t>Cinsiyet</t>
  </si>
  <si>
    <t>Cinsiyet Dağılım Sayısı</t>
  </si>
  <si>
    <t>Departman İsimleri</t>
  </si>
  <si>
    <t>Personel Sayısı</t>
  </si>
  <si>
    <t>Personelin Adı/Soyadı</t>
  </si>
  <si>
    <t>Ana İş Bilgisi</t>
  </si>
  <si>
    <t xml:space="preserve">Verimlilik </t>
  </si>
  <si>
    <t>İş Kalitesi</t>
  </si>
  <si>
    <t>Sorumluluk</t>
  </si>
  <si>
    <t>Problem çözme</t>
  </si>
  <si>
    <t>Üretkenlik</t>
  </si>
  <si>
    <t>Mesleki Yeterlilik</t>
  </si>
  <si>
    <t>İnsan İlişkileri</t>
  </si>
  <si>
    <t>Organizasyon Becerisi</t>
  </si>
  <si>
    <t>Öğrenmeye Yatkın Olma</t>
  </si>
  <si>
    <t>Takım Çalışmaı</t>
  </si>
  <si>
    <t>Davranışsal Yeterlilik</t>
  </si>
  <si>
    <t>Toplam Puan</t>
  </si>
  <si>
    <t>Performans 
Değerlendirme Kriterleri</t>
  </si>
  <si>
    <t>Yetersiz</t>
  </si>
  <si>
    <t>Orta</t>
  </si>
  <si>
    <t>Çok 
Yetersiz</t>
  </si>
  <si>
    <t>İyi 
Derecede</t>
  </si>
  <si>
    <t>Çok İyi
 Derecede</t>
  </si>
  <si>
    <t>Departman</t>
  </si>
  <si>
    <t>Sütun2</t>
  </si>
  <si>
    <t>Sütun92</t>
  </si>
  <si>
    <t>İsim Soyisim</t>
  </si>
  <si>
    <t>İzin Başlangıc Tarihi</t>
  </si>
  <si>
    <t>İzin Bitiş Tarihi</t>
  </si>
  <si>
    <t>Cigdem Göcer</t>
  </si>
  <si>
    <t>İlayda Ozmen</t>
  </si>
  <si>
    <t>Sütun93</t>
  </si>
  <si>
    <t>28.08.2010</t>
  </si>
  <si>
    <t xml:space="preserve">d </t>
  </si>
  <si>
    <t>Toplam İzin Günü Sayısı</t>
  </si>
  <si>
    <t>Fatma Öztürk</t>
  </si>
  <si>
    <t>Çiğdem Göçer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</si>
</sst>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₺-41F]* #,##0.00_-;\-[$₺-41F]* #,##0.00_-;_-[$₺-41F]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3F3F3F"/>
      <name val="Calibri"/>
      <family val="2"/>
      <charset val="162"/>
      <scheme val="minor"/>
    </font>
    <font>
      <sz val="11"/>
      <color theme="4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AD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C7ABA"/>
        <bgColor indexed="64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4" fillId="9" borderId="4" applyNumberFormat="0" applyAlignment="0" applyProtection="0"/>
  </cellStyleXfs>
  <cellXfs count="3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4" borderId="0" xfId="0" applyFill="1"/>
    <xf numFmtId="0" fontId="0" fillId="2" borderId="0" xfId="0" applyFill="1" applyAlignment="1">
      <alignment vertic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8" borderId="0" xfId="0" applyFill="1"/>
    <xf numFmtId="14" fontId="4" fillId="9" borderId="4" xfId="1" applyNumberFormat="1" applyAlignment="1">
      <alignment horizontal="center" vertical="center"/>
    </xf>
    <xf numFmtId="0" fontId="4" fillId="9" borderId="4" xfId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5" fillId="2" borderId="0" xfId="0" applyFont="1" applyFill="1" applyAlignment="1">
      <alignment horizontal="center"/>
    </xf>
  </cellXfs>
  <cellStyles count="2">
    <cellStyle name="Çıkış" xfId="1" builtinId="21"/>
    <cellStyle name="Normal" xfId="0" builtinId="0"/>
  </cellStyles>
  <dxfs count="53">
    <dxf>
      <alignment vertical="center"/>
    </dxf>
    <dxf>
      <alignment horizontal="center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b/>
        <charset val="162"/>
      </font>
    </dxf>
    <dxf>
      <alignment vertical="center"/>
    </dxf>
    <dxf>
      <alignment horizontal="center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charset val="16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alignment horizontal="center" vertical="center" textRotation="0" wrapText="0" indent="0" justifyLastLine="0" shrinkToFit="0" readingOrder="0"/>
      <border outline="0">
        <left style="thin">
          <color rgb="FF3F3F3F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charset val="16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alignment horizontal="center" vertical="center" textRotation="0" wrapText="0" indent="0" justifyLastLine="0" shrinkToFit="0" readingOrder="0"/>
      <border outline="0">
        <left style="thin">
          <color rgb="FF3F3F3F"/>
        </left>
        <right style="thin">
          <color rgb="FF3F3F3F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charset val="16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alignment horizontal="center" vertical="center" textRotation="0" wrapText="0" indent="0" justifyLastLine="0" shrinkToFit="0" readingOrder="0"/>
      <border outline="0">
        <right style="thin">
          <color rgb="FF3F3F3F"/>
        </right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  <border outline="0">
        <right style="thin">
          <color rgb="FF3F3F3F"/>
        </right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64" formatCode="_-[$₺-41F]* #,##0.00_-;\-[$₺-41F]* #,##0.00_-;_-[$₺-41F]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C7ABA"/>
      <color rgb="FF007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[güncelProjeMakro.xlsm]Raporlar!PivotTable9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Cinsiyet</a:t>
            </a:r>
          </a:p>
        </c:rich>
      </c:tx>
      <c:layout>
        <c:manualLayout>
          <c:xMode val="edge"/>
          <c:yMode val="edge"/>
          <c:x val="0.38023558150736769"/>
          <c:y val="7.97169771254321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4332084893882647E-2"/>
          <c:y val="0.24438795878670511"/>
          <c:w val="0.93133583021223476"/>
          <c:h val="0.533814523184601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Raporlar!$B$3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Raporlar!$A$4:$A$5</c:f>
              <c:strCache>
                <c:ptCount val="2"/>
                <c:pt idx="0">
                  <c:v>Erkek</c:v>
                </c:pt>
                <c:pt idx="1">
                  <c:v>Kadın</c:v>
                </c:pt>
              </c:strCache>
            </c:strRef>
          </c:cat>
          <c:val>
            <c:numRef>
              <c:f>Raporlar!$B$4:$B$5</c:f>
              <c:numCache>
                <c:formatCode>General</c:formatCode>
                <c:ptCount val="2"/>
                <c:pt idx="0">
                  <c:v>11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D-4519-A43C-9D6001BA921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826009551"/>
        <c:axId val="829557871"/>
      </c:barChart>
      <c:catAx>
        <c:axId val="82600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9557871"/>
        <c:crosses val="autoZero"/>
        <c:auto val="1"/>
        <c:lblAlgn val="ctr"/>
        <c:lblOffset val="100"/>
        <c:noMultiLvlLbl val="0"/>
      </c:catAx>
      <c:valAx>
        <c:axId val="82955787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26009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tr-TR"/>
              <a:t>ŞİRKETTE GEÇİRİLEN YIL DAĞILIMI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personelBilgi!$J$2:$J$4</c:f>
              <c:numCache>
                <c:formatCode>General</c:formatCode>
                <c:ptCount val="3"/>
                <c:pt idx="0">
                  <c:v>12</c:v>
                </c:pt>
                <c:pt idx="1">
                  <c:v>11</c:v>
                </c:pt>
                <c:pt idx="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55-46D6-B7DC-25FD89C6F8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996515215"/>
        <c:axId val="993752959"/>
      </c:barChart>
      <c:catAx>
        <c:axId val="996515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93752959"/>
        <c:crosses val="autoZero"/>
        <c:auto val="1"/>
        <c:lblAlgn val="ctr"/>
        <c:lblOffset val="100"/>
        <c:noMultiLvlLbl val="0"/>
      </c:catAx>
      <c:valAx>
        <c:axId val="99375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96515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FİNANSAL</a:t>
            </a:r>
            <a:r>
              <a:rPr lang="tr-TR" baseline="0"/>
              <a:t> DAĞILIM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personelBilgi!$H$2:$H$4</c:f>
              <c:numCache>
                <c:formatCode>_-[$₺-41F]* #,##0.00_-;\-[$₺-41F]* #,##0.00_-;_-[$₺-41F]* "-"??_-;_-@_-</c:formatCode>
                <c:ptCount val="3"/>
                <c:pt idx="0">
                  <c:v>120000</c:v>
                </c:pt>
                <c:pt idx="1">
                  <c:v>100000</c:v>
                </c:pt>
                <c:pt idx="2">
                  <c:v>110000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0E-46DB-8553-4E428A153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369807"/>
        <c:axId val="992727503"/>
      </c:scatterChart>
      <c:valAx>
        <c:axId val="676369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92727503"/>
        <c:crosses val="autoZero"/>
        <c:crossBetween val="midCat"/>
      </c:valAx>
      <c:valAx>
        <c:axId val="992727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₺-41F]* #,##0.00_-;\-[$₺-41F]* #,##0.00_-;_-[$₺-41F]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76369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Departman</a:t>
            </a:r>
            <a:r>
              <a:rPr lang="tr-TR" baseline="0"/>
              <a:t> Doluluk Dağılımı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Toplam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Ar-ge Departmanı</c:v>
              </c:pt>
              <c:pt idx="1">
                <c:v>Finans Departmanı</c:v>
              </c:pt>
              <c:pt idx="2">
                <c:v>Genel Sekreterlik</c:v>
              </c:pt>
              <c:pt idx="3">
                <c:v>Hukuk Departmanı</c:v>
              </c:pt>
              <c:pt idx="4">
                <c:v>IT Departmanı</c:v>
              </c:pt>
              <c:pt idx="5">
                <c:v>İnsan Kaynakları Departmanı</c:v>
              </c:pt>
              <c:pt idx="6">
                <c:v>Muhasebe Departmanı</c:v>
              </c:pt>
              <c:pt idx="7">
                <c:v>Pazarlama Departmanı</c:v>
              </c:pt>
              <c:pt idx="8">
                <c:v>Üretim Departmanı</c:v>
              </c:pt>
              <c:pt idx="9">
                <c:v>Yönetim Departmanı</c:v>
              </c:pt>
            </c:strLit>
          </c:cat>
          <c:val>
            <c:numLit>
              <c:formatCode>General</c:formatCode>
              <c:ptCount val="10"/>
              <c:pt idx="0">
                <c:v>1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4</c:v>
              </c:pt>
              <c:pt idx="5">
                <c:v>1</c:v>
              </c:pt>
              <c:pt idx="6">
                <c:v>1</c:v>
              </c:pt>
              <c:pt idx="7">
                <c:v>2</c:v>
              </c:pt>
              <c:pt idx="8">
                <c:v>4</c:v>
              </c:pt>
              <c:pt idx="9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0-70E8-405E-9D61-C87261C65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76370767"/>
        <c:axId val="914934592"/>
      </c:barChart>
      <c:catAx>
        <c:axId val="676370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14934592"/>
        <c:crosses val="autoZero"/>
        <c:auto val="1"/>
        <c:lblAlgn val="ctr"/>
        <c:lblOffset val="100"/>
        <c:noMultiLvlLbl val="0"/>
      </c:catAx>
      <c:valAx>
        <c:axId val="91493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76370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205740</xdr:colOff>
          <xdr:row>11</xdr:row>
          <xdr:rowOff>45720</xdr:rowOff>
        </xdr:from>
        <xdr:to>
          <xdr:col>6</xdr:col>
          <xdr:colOff>198120</xdr:colOff>
          <xdr:row>14</xdr:row>
          <xdr:rowOff>175260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182880</xdr:colOff>
          <xdr:row>17</xdr:row>
          <xdr:rowOff>91440</xdr:rowOff>
        </xdr:from>
        <xdr:to>
          <xdr:col>6</xdr:col>
          <xdr:colOff>190500</xdr:colOff>
          <xdr:row>20</xdr:row>
          <xdr:rowOff>129540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468084</xdr:colOff>
      <xdr:row>13</xdr:row>
      <xdr:rowOff>163285</xdr:rowOff>
    </xdr:from>
    <xdr:to>
      <xdr:col>25</xdr:col>
      <xdr:colOff>130627</xdr:colOff>
      <xdr:row>30</xdr:row>
      <xdr:rowOff>87085</xdr:rowOff>
    </xdr:to>
    <xdr:sp macro="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64084" y="2569028"/>
          <a:ext cx="8806543" cy="3069771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r-TR" sz="4400" b="1">
              <a:solidFill>
                <a:schemeClr val="tx2"/>
              </a:solidFill>
            </a:rPr>
            <a:t>İNSAN</a:t>
          </a:r>
          <a:r>
            <a:rPr lang="tr-TR" sz="4400" b="1" baseline="0">
              <a:solidFill>
                <a:schemeClr val="tx2"/>
              </a:solidFill>
            </a:rPr>
            <a:t> KAYNAKLARI MODÜLÜ</a:t>
          </a:r>
          <a:endParaRPr lang="tr-TR" sz="4400" b="1">
            <a:solidFill>
              <a:schemeClr val="tx2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23</xdr:row>
          <xdr:rowOff>83820</xdr:rowOff>
        </xdr:from>
        <xdr:to>
          <xdr:col>6</xdr:col>
          <xdr:colOff>190500</xdr:colOff>
          <xdr:row>26</xdr:row>
          <xdr:rowOff>167640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30</xdr:row>
          <xdr:rowOff>7620</xdr:rowOff>
        </xdr:from>
        <xdr:to>
          <xdr:col>6</xdr:col>
          <xdr:colOff>160020</xdr:colOff>
          <xdr:row>33</xdr:row>
          <xdr:rowOff>83820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152399</xdr:colOff>
      <xdr:row>10</xdr:row>
      <xdr:rowOff>130629</xdr:rowOff>
    </xdr:from>
    <xdr:to>
      <xdr:col>2</xdr:col>
      <xdr:colOff>457199</xdr:colOff>
      <xdr:row>15</xdr:row>
      <xdr:rowOff>119743</xdr:rowOff>
    </xdr:to>
    <xdr:pic>
      <xdr:nvPicPr>
        <xdr:cNvPr id="4" name="Grafik 3" descr="Köşeli çift ayraç okları düz dolguyla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1999" y="19812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174172</xdr:colOff>
      <xdr:row>16</xdr:row>
      <xdr:rowOff>130629</xdr:rowOff>
    </xdr:from>
    <xdr:to>
      <xdr:col>2</xdr:col>
      <xdr:colOff>478972</xdr:colOff>
      <xdr:row>21</xdr:row>
      <xdr:rowOff>119743</xdr:rowOff>
    </xdr:to>
    <xdr:pic>
      <xdr:nvPicPr>
        <xdr:cNvPr id="5" name="Grafik 4" descr="Köşeli çift ayraç okları düz dolguyla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3772" y="309154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163286</xdr:colOff>
      <xdr:row>22</xdr:row>
      <xdr:rowOff>141514</xdr:rowOff>
    </xdr:from>
    <xdr:to>
      <xdr:col>2</xdr:col>
      <xdr:colOff>468086</xdr:colOff>
      <xdr:row>27</xdr:row>
      <xdr:rowOff>130628</xdr:rowOff>
    </xdr:to>
    <xdr:pic>
      <xdr:nvPicPr>
        <xdr:cNvPr id="6" name="Grafik 5" descr="Köşeli çift ayraç okları düz dolguyl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2886" y="4212771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195943</xdr:colOff>
      <xdr:row>29</xdr:row>
      <xdr:rowOff>10886</xdr:rowOff>
    </xdr:from>
    <xdr:to>
      <xdr:col>2</xdr:col>
      <xdr:colOff>500743</xdr:colOff>
      <xdr:row>34</xdr:row>
      <xdr:rowOff>0</xdr:rowOff>
    </xdr:to>
    <xdr:pic>
      <xdr:nvPicPr>
        <xdr:cNvPr id="7" name="Grafik 6" descr="Köşeli çift ayraç okları düz dolguyla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5543" y="5377543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142969</xdr:colOff>
      <xdr:row>0</xdr:row>
      <xdr:rowOff>172559</xdr:rowOff>
    </xdr:from>
    <xdr:to>
      <xdr:col>1</xdr:col>
      <xdr:colOff>1760690</xdr:colOff>
      <xdr:row>0</xdr:row>
      <xdr:rowOff>424386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27916" y="172559"/>
          <a:ext cx="1617721" cy="25182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100" b="1"/>
            <a:t>PERSONEL İSİM SOYİSİM</a:t>
          </a:r>
        </a:p>
      </xdr:txBody>
    </xdr:sp>
    <xdr:clientData/>
  </xdr:twoCellAnchor>
  <xdr:twoCellAnchor>
    <xdr:from>
      <xdr:col>2</xdr:col>
      <xdr:colOff>50133</xdr:colOff>
      <xdr:row>0</xdr:row>
      <xdr:rowOff>164549</xdr:rowOff>
    </xdr:from>
    <xdr:to>
      <xdr:col>2</xdr:col>
      <xdr:colOff>1493451</xdr:colOff>
      <xdr:row>0</xdr:row>
      <xdr:rowOff>388667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20028" y="164549"/>
          <a:ext cx="1443318" cy="224118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100" baseline="0"/>
            <a:t> </a:t>
          </a:r>
          <a:r>
            <a:rPr lang="tr-TR" sz="1100" b="1" baseline="0"/>
            <a:t>CİNSİYET</a:t>
          </a:r>
          <a:endParaRPr lang="tr-TR" sz="1100" b="1"/>
        </a:p>
      </xdr:txBody>
    </xdr:sp>
    <xdr:clientData/>
  </xdr:twoCellAnchor>
  <xdr:twoCellAnchor>
    <xdr:from>
      <xdr:col>3</xdr:col>
      <xdr:colOff>52728</xdr:colOff>
      <xdr:row>0</xdr:row>
      <xdr:rowOff>174576</xdr:rowOff>
    </xdr:from>
    <xdr:to>
      <xdr:col>3</xdr:col>
      <xdr:colOff>1496046</xdr:colOff>
      <xdr:row>0</xdr:row>
      <xdr:rowOff>398694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456912" y="174576"/>
          <a:ext cx="1443318" cy="224118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100" baseline="0"/>
            <a:t> </a:t>
          </a:r>
          <a:r>
            <a:rPr lang="tr-TR" sz="1100" b="1" baseline="0"/>
            <a:t>İŞE GİRİŞ TARİHİ</a:t>
          </a:r>
          <a:endParaRPr lang="tr-TR" sz="1100" b="1"/>
        </a:p>
      </xdr:txBody>
    </xdr:sp>
    <xdr:clientData/>
  </xdr:twoCellAnchor>
  <xdr:twoCellAnchor>
    <xdr:from>
      <xdr:col>4</xdr:col>
      <xdr:colOff>53791</xdr:colOff>
      <xdr:row>0</xdr:row>
      <xdr:rowOff>134471</xdr:rowOff>
    </xdr:from>
    <xdr:to>
      <xdr:col>4</xdr:col>
      <xdr:colOff>1497108</xdr:colOff>
      <xdr:row>0</xdr:row>
      <xdr:rowOff>358589</xdr:rowOff>
    </xdr:to>
    <xdr:sp macro="" textlink="">
      <xdr:nvSpPr>
        <xdr:cNvPr id="8" name="Dikdört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190567" y="134471"/>
          <a:ext cx="1443317" cy="224118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100" baseline="0"/>
            <a:t> </a:t>
          </a:r>
          <a:r>
            <a:rPr lang="tr-TR" sz="1100" b="1" baseline="0"/>
            <a:t>TELEFON NUMARASI</a:t>
          </a:r>
          <a:endParaRPr lang="tr-TR" sz="1100" b="1"/>
        </a:p>
      </xdr:txBody>
    </xdr:sp>
    <xdr:clientData/>
  </xdr:twoCellAnchor>
  <xdr:twoCellAnchor>
    <xdr:from>
      <xdr:col>5</xdr:col>
      <xdr:colOff>44826</xdr:colOff>
      <xdr:row>0</xdr:row>
      <xdr:rowOff>125507</xdr:rowOff>
    </xdr:from>
    <xdr:to>
      <xdr:col>5</xdr:col>
      <xdr:colOff>1577788</xdr:colOff>
      <xdr:row>0</xdr:row>
      <xdr:rowOff>349624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95250" y="125507"/>
          <a:ext cx="1532962" cy="22411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100" baseline="0"/>
            <a:t> </a:t>
          </a:r>
          <a:r>
            <a:rPr lang="tr-TR" sz="1100" b="1" baseline="0"/>
            <a:t>DEPARTMAN</a:t>
          </a:r>
          <a:endParaRPr lang="tr-TR" sz="1100" b="1"/>
        </a:p>
      </xdr:txBody>
    </xdr:sp>
    <xdr:clientData/>
  </xdr:twoCellAnchor>
  <xdr:twoCellAnchor>
    <xdr:from>
      <xdr:col>6</xdr:col>
      <xdr:colOff>114420</xdr:colOff>
      <xdr:row>0</xdr:row>
      <xdr:rowOff>155583</xdr:rowOff>
    </xdr:from>
    <xdr:to>
      <xdr:col>6</xdr:col>
      <xdr:colOff>1701171</xdr:colOff>
      <xdr:row>0</xdr:row>
      <xdr:rowOff>379702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8496420" y="155583"/>
          <a:ext cx="1586751" cy="224119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100" baseline="0"/>
            <a:t> </a:t>
          </a:r>
          <a:r>
            <a:rPr lang="tr-TR" sz="1100" b="1" baseline="0"/>
            <a:t>ÜNVAN</a:t>
          </a:r>
          <a:endParaRPr lang="tr-TR" sz="1100" b="1"/>
        </a:p>
      </xdr:txBody>
    </xdr:sp>
    <xdr:clientData/>
  </xdr:twoCellAnchor>
  <xdr:twoCellAnchor>
    <xdr:from>
      <xdr:col>7</xdr:col>
      <xdr:colOff>98615</xdr:colOff>
      <xdr:row>0</xdr:row>
      <xdr:rowOff>116539</xdr:rowOff>
    </xdr:from>
    <xdr:to>
      <xdr:col>7</xdr:col>
      <xdr:colOff>1703295</xdr:colOff>
      <xdr:row>0</xdr:row>
      <xdr:rowOff>349624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237697" y="116539"/>
          <a:ext cx="1604680" cy="23308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100" b="1" baseline="0"/>
            <a:t> NET MAAŞ</a:t>
          </a:r>
          <a:endParaRPr lang="tr-TR" sz="1100" b="1"/>
        </a:p>
      </xdr:txBody>
    </xdr:sp>
    <xdr:clientData/>
  </xdr:twoCellAnchor>
  <xdr:twoCellAnchor>
    <xdr:from>
      <xdr:col>8</xdr:col>
      <xdr:colOff>98616</xdr:colOff>
      <xdr:row>0</xdr:row>
      <xdr:rowOff>116539</xdr:rowOff>
    </xdr:from>
    <xdr:to>
      <xdr:col>8</xdr:col>
      <xdr:colOff>1712260</xdr:colOff>
      <xdr:row>0</xdr:row>
      <xdr:rowOff>349624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2012710" y="116539"/>
          <a:ext cx="1613644" cy="23308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100" b="1" baseline="0"/>
            <a:t> BUGÜN TARİHİ</a:t>
          </a:r>
          <a:endParaRPr lang="tr-TR" sz="1100" b="1"/>
        </a:p>
      </xdr:txBody>
    </xdr:sp>
    <xdr:clientData/>
  </xdr:twoCellAnchor>
  <xdr:twoCellAnchor>
    <xdr:from>
      <xdr:col>9</xdr:col>
      <xdr:colOff>80686</xdr:colOff>
      <xdr:row>0</xdr:row>
      <xdr:rowOff>116541</xdr:rowOff>
    </xdr:from>
    <xdr:to>
      <xdr:col>9</xdr:col>
      <xdr:colOff>1766048</xdr:colOff>
      <xdr:row>0</xdr:row>
      <xdr:rowOff>349625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3787721" y="116541"/>
          <a:ext cx="1685362" cy="23308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100" b="1" baseline="0"/>
            <a:t> ŞİRKETTE GEÇİRDİĞİ YIL</a:t>
          </a:r>
          <a:endParaRPr lang="tr-TR" sz="1100" b="1"/>
        </a:p>
      </xdr:txBody>
    </xdr:sp>
    <xdr:clientData/>
  </xdr:twoCellAnchor>
  <xdr:twoCellAnchor>
    <xdr:from>
      <xdr:col>10</xdr:col>
      <xdr:colOff>48486</xdr:colOff>
      <xdr:row>0</xdr:row>
      <xdr:rowOff>106511</xdr:rowOff>
    </xdr:from>
    <xdr:to>
      <xdr:col>10</xdr:col>
      <xdr:colOff>1834816</xdr:colOff>
      <xdr:row>0</xdr:row>
      <xdr:rowOff>441158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7414065" y="106511"/>
          <a:ext cx="1786330" cy="33464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100" b="1" baseline="0"/>
            <a:t> HAKEDİLEN İZİN (GÜN)</a:t>
          </a:r>
        </a:p>
        <a:p>
          <a:pPr algn="ctr"/>
          <a:endParaRPr lang="tr-TR" sz="1100" b="1"/>
        </a:p>
      </xdr:txBody>
    </xdr:sp>
    <xdr:clientData/>
  </xdr:twoCellAnchor>
  <xdr:twoCellAnchor>
    <xdr:from>
      <xdr:col>0</xdr:col>
      <xdr:colOff>160421</xdr:colOff>
      <xdr:row>0</xdr:row>
      <xdr:rowOff>160421</xdr:rowOff>
    </xdr:from>
    <xdr:to>
      <xdr:col>0</xdr:col>
      <xdr:colOff>1778142</xdr:colOff>
      <xdr:row>0</xdr:row>
      <xdr:rowOff>412248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60421" y="160421"/>
          <a:ext cx="1617721" cy="25182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100" b="1"/>
            <a:t>PERSONEL TC</a:t>
          </a:r>
          <a:r>
            <a:rPr lang="tr-TR" sz="1100" b="1" baseline="0"/>
            <a:t> KİMLİK NO</a:t>
          </a:r>
          <a:endParaRPr lang="tr-TR" sz="1100" b="1"/>
        </a:p>
      </xdr:txBody>
    </xdr:sp>
    <xdr:clientData/>
  </xdr:twoCellAnchor>
  <xdr:twoCellAnchor>
    <xdr:from>
      <xdr:col>11</xdr:col>
      <xdr:colOff>120675</xdr:colOff>
      <xdr:row>0</xdr:row>
      <xdr:rowOff>138595</xdr:rowOff>
    </xdr:from>
    <xdr:to>
      <xdr:col>11</xdr:col>
      <xdr:colOff>1907005</xdr:colOff>
      <xdr:row>0</xdr:row>
      <xdr:rowOff>473242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9483095" y="138595"/>
          <a:ext cx="1786330" cy="33464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tr-TR" sz="1100" b="1" baseline="0"/>
            <a:t> HARCANAN İZİN (GÜN)</a:t>
          </a:r>
          <a:endParaRPr lang="tr-TR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320040</xdr:colOff>
      <xdr:row>1</xdr:row>
      <xdr:rowOff>167640</xdr:rowOff>
    </xdr:from>
    <xdr:to>
      <xdr:col>12</xdr:col>
      <xdr:colOff>403860</xdr:colOff>
      <xdr:row>1</xdr:row>
      <xdr:rowOff>1143000</xdr:rowOff>
    </xdr:to>
    <xdr:sp macro="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992880" y="350520"/>
          <a:ext cx="6096000" cy="97536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r-TR" sz="2800">
              <a:solidFill>
                <a:schemeClr val="tx1">
                  <a:lumMod val="95000"/>
                  <a:lumOff val="5000"/>
                </a:schemeClr>
              </a:solidFill>
              <a:latin typeface="Algerian" panose="04020705040A02060702" pitchFamily="82" charset="0"/>
            </a:rPr>
            <a:t>PERSONEL</a:t>
          </a:r>
          <a:r>
            <a:rPr lang="tr-TR" sz="2800" baseline="0">
              <a:solidFill>
                <a:schemeClr val="tx1">
                  <a:lumMod val="95000"/>
                  <a:lumOff val="5000"/>
                </a:schemeClr>
              </a:solidFill>
              <a:latin typeface="Algerian" panose="04020705040A02060702" pitchFamily="82" charset="0"/>
            </a:rPr>
            <a:t> İZİN TAKİP TABLOSU</a:t>
          </a:r>
          <a:endParaRPr lang="tr-TR" sz="2800">
            <a:solidFill>
              <a:schemeClr val="tx1">
                <a:lumMod val="95000"/>
                <a:lumOff val="5000"/>
              </a:schemeClr>
            </a:solidFill>
            <a:latin typeface="Algerian" panose="04020705040A02060702" pitchFamily="8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83820</xdr:colOff>
      <xdr:row>1</xdr:row>
      <xdr:rowOff>45720</xdr:rowOff>
    </xdr:from>
    <xdr:to>
      <xdr:col>10</xdr:col>
      <xdr:colOff>335280</xdr:colOff>
      <xdr:row>15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83820</xdr:colOff>
      <xdr:row>19</xdr:row>
      <xdr:rowOff>30480</xdr:rowOff>
    </xdr:from>
    <xdr:to>
      <xdr:col>10</xdr:col>
      <xdr:colOff>388620</xdr:colOff>
      <xdr:row>34</xdr:row>
      <xdr:rowOff>30480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426720</xdr:colOff>
      <xdr:row>1</xdr:row>
      <xdr:rowOff>30480</xdr:rowOff>
    </xdr:from>
    <xdr:to>
      <xdr:col>20</xdr:col>
      <xdr:colOff>121920</xdr:colOff>
      <xdr:row>15</xdr:row>
      <xdr:rowOff>114300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20</xdr:col>
      <xdr:colOff>304800</xdr:colOff>
      <xdr:row>34</xdr:row>
      <xdr:rowOff>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ylem Lalek" refreshedDate="45291.040402662038" createdVersion="8" refreshedVersion="8" minRefreshableVersion="3" recordCount="22" xr:uid="{02549C50-AE20-4A5C-BA19-CE47806B0529}">
  <cacheSource type="worksheet">
    <worksheetSource name="Tablo1"/>
  </cacheSource>
  <cacheFields count="10">
    <cacheField name="Sütun1" numFmtId="0">
      <sharedItems/>
    </cacheField>
    <cacheField name="Cinsiyet" numFmtId="0">
      <sharedItems count="3">
        <s v="Kadın"/>
        <s v="Erkek"/>
        <s v="Kadın "/>
      </sharedItems>
    </cacheField>
    <cacheField name="Sütun3" numFmtId="14">
      <sharedItems containsDate="1" containsMixedTypes="1" minDate="2015-07-25T00:00:00" maxDate="2016-07-15T00:00:00"/>
    </cacheField>
    <cacheField name="Sütun4" numFmtId="0">
      <sharedItems/>
    </cacheField>
    <cacheField name="Sütun5" numFmtId="0">
      <sharedItems/>
    </cacheField>
    <cacheField name="Sütun6" numFmtId="0">
      <sharedItems/>
    </cacheField>
    <cacheField name="Sütun7" numFmtId="164">
      <sharedItems containsSemiMixedTypes="0" containsString="0" containsNumber="1" containsInteger="1" minValue="45555" maxValue="95000"/>
    </cacheField>
    <cacheField name="Sütun8" numFmtId="14">
      <sharedItems containsSemiMixedTypes="0" containsNonDate="0" containsDate="1" containsString="0" minDate="2023-12-31T00:00:00" maxDate="2024-01-01T00:00:00"/>
    </cacheField>
    <cacheField name="Sütun9" numFmtId="0">
      <sharedItems containsSemiMixedTypes="0" containsString="0" containsNumber="1" containsInteger="1" minValue="2" maxValue="12"/>
    </cacheField>
    <cacheField name="Sütun10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ylem Lalek" refreshedDate="45291.052151157404" createdVersion="8" refreshedVersion="8" minRefreshableVersion="3" recordCount="22" xr:uid="{D7A94F14-B2A8-4E4C-9406-AE50E88007AC}">
  <cacheSource type="worksheet">
    <worksheetSource name="Tablo1"/>
  </cacheSource>
  <cacheFields count="10">
    <cacheField name="Sütun1" numFmtId="0">
      <sharedItems/>
    </cacheField>
    <cacheField name="Cinsiyet" numFmtId="0">
      <sharedItems/>
    </cacheField>
    <cacheField name="Sütun3" numFmtId="14">
      <sharedItems containsDate="1" containsMixedTypes="1" minDate="2015-07-25T00:00:00" maxDate="2016-07-15T00:00:00"/>
    </cacheField>
    <cacheField name="Sütun4" numFmtId="0">
      <sharedItems/>
    </cacheField>
    <cacheField name="Sütun5" numFmtId="0">
      <sharedItems count="10">
        <s v="Yönetim Departmanı"/>
        <s v="Pazarlama Departmanı"/>
        <s v="Genel Sekreterlik"/>
        <s v="Hukuk Departmanı"/>
        <s v="IT Departmanı"/>
        <s v="Muhasebe Departmanı"/>
        <s v="Ar-ge Departmanı"/>
        <s v="Finans Departmanı"/>
        <s v="Üretim Departmanı"/>
        <s v="İnsan Kaynakları Departmanı"/>
      </sharedItems>
    </cacheField>
    <cacheField name="Sütun6" numFmtId="0">
      <sharedItems/>
    </cacheField>
    <cacheField name="Sütun7" numFmtId="164">
      <sharedItems containsSemiMixedTypes="0" containsString="0" containsNumber="1" containsInteger="1" minValue="45555" maxValue="95000"/>
    </cacheField>
    <cacheField name="Sütun8" numFmtId="14">
      <sharedItems containsSemiMixedTypes="0" containsNonDate="0" containsDate="1" containsString="0" minDate="2023-12-31T00:00:00" maxDate="2024-01-01T00:00:00"/>
    </cacheField>
    <cacheField name="Sütun9" numFmtId="0">
      <sharedItems containsSemiMixedTypes="0" containsString="0" containsNumber="1" containsInteger="1" minValue="2" maxValue="12"/>
    </cacheField>
    <cacheField name="Sütun10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s v="Çiğdem Göçer"/>
    <x v="0"/>
    <s v="20.08.2012"/>
    <s v="0444 444 44 44"/>
    <s v="Yönetim Departmanı"/>
    <s v="Müdür"/>
    <n v="80000"/>
    <d v="2023-12-31T00:00:00"/>
    <n v="11"/>
    <s v="26 GÜN"/>
  </r>
  <r>
    <s v="İlayda Özmen"/>
    <x v="0"/>
    <s v="28.08.2011"/>
    <s v="0666 666 66 66"/>
    <s v="Yönetim Departmanı"/>
    <s v="CEO"/>
    <n v="80000"/>
    <d v="2023-12-31T00:00:00"/>
    <n v="12"/>
    <s v="26 GÜN"/>
  </r>
  <r>
    <s v="Eylem Lalek"/>
    <x v="0"/>
    <s v="22.02.2012"/>
    <s v="0555 555 55 55"/>
    <s v="Yönetim Departmanı"/>
    <s v="CEO"/>
    <n v="95000"/>
    <d v="2023-12-31T00:00:00"/>
    <n v="11"/>
    <s v="26 GÜN"/>
  </r>
  <r>
    <s v="Hasan Koç"/>
    <x v="1"/>
    <s v="25.05.2015"/>
    <s v="0511 111 11 11"/>
    <s v="Pazarlama Departmanı"/>
    <s v="Dijital Pazarlama Uzmanı"/>
    <n v="50000"/>
    <d v="2023-12-31T00:00:00"/>
    <n v="8"/>
    <s v="20 GÜN"/>
  </r>
  <r>
    <s v="Muttalip Köse"/>
    <x v="1"/>
    <s v="11.01.2014"/>
    <s v="0522 222 22 22"/>
    <s v="Genel Sekreterlik"/>
    <s v="Müdür"/>
    <n v="45555"/>
    <d v="2023-12-31T00:00:00"/>
    <n v="9"/>
    <s v="20 GÜN"/>
  </r>
  <r>
    <s v="Ceren Erdeğer"/>
    <x v="2"/>
    <s v="30.03.2019"/>
    <s v="0533 333 33 33"/>
    <s v="Hukuk Departmanı"/>
    <s v="Avukat"/>
    <n v="60000"/>
    <d v="2023-12-31T00:00:00"/>
    <n v="4"/>
    <s v="14 GÜN"/>
  </r>
  <r>
    <s v="Can Hakan "/>
    <x v="1"/>
    <s v="05.02.2017"/>
    <s v="0544 444 44 44"/>
    <s v="IT Departmanı"/>
    <s v="Bilgi Teknolojileri Yöneticisi"/>
    <n v="45555"/>
    <d v="2023-12-31T00:00:00"/>
    <n v="6"/>
    <s v="20 GÜN"/>
  </r>
  <r>
    <s v="Tunahan Gün"/>
    <x v="1"/>
    <s v="02.01.2016"/>
    <s v="0555 444 45 45"/>
    <s v="Muhasebe Departmanı"/>
    <s v="Muhasebe Müdürü"/>
    <n v="55002"/>
    <d v="2023-12-31T00:00:00"/>
    <n v="7"/>
    <s v="20 GÜN"/>
  </r>
  <r>
    <s v="Geylani Sevinç"/>
    <x v="0"/>
    <s v="05.06.2015"/>
    <s v="0555 455 45 65"/>
    <s v="Ar-ge Departmanı"/>
    <s v="Ar-ge Uzmanı"/>
    <n v="65258"/>
    <d v="2023-12-31T00:00:00"/>
    <n v="8"/>
    <s v="20 GÜN"/>
  </r>
  <r>
    <s v="Cenk Adıgüzel"/>
    <x v="1"/>
    <s v="05.12.2016"/>
    <s v="0588 258 58 58"/>
    <s v="Finans Departmanı"/>
    <s v="Kurumsal Finans Danışmanı"/>
    <n v="58854"/>
    <d v="2023-12-31T00:00:00"/>
    <n v="7"/>
    <s v="20 GÜN"/>
  </r>
  <r>
    <s v="Rümeysa Göksu"/>
    <x v="0"/>
    <s v="30.09.2021"/>
    <s v="0622 622 22 22"/>
    <s v="Genel Sekreterlik"/>
    <s v="Müdür"/>
    <n v="50260"/>
    <d v="2023-12-31T00:00:00"/>
    <n v="2"/>
    <s v="14 GÜN"/>
  </r>
  <r>
    <s v="Sadi Esen"/>
    <x v="1"/>
    <s v="03.07.2014"/>
    <s v="0999 999 99 99"/>
    <s v="Üretim Departmanı"/>
    <s v="Üretim Planlama"/>
    <n v="69997"/>
    <d v="2023-12-31T00:00:00"/>
    <n v="9"/>
    <s v="20 GÜN"/>
  </r>
  <r>
    <s v="Eren Köse"/>
    <x v="1"/>
    <d v="2015-07-25T00:00:00"/>
    <s v="0445 544 54 45"/>
    <s v="IT Departmanı"/>
    <s v="Bilgi Güvenliği Uzmanı"/>
    <n v="70550"/>
    <d v="2023-12-31T00:00:00"/>
    <n v="8"/>
    <s v="20 GÜN"/>
  </r>
  <r>
    <s v="Çağla Hür"/>
    <x v="0"/>
    <d v="2016-07-14T00:00:00"/>
    <s v="0664 654 54 54"/>
    <s v="Pazarlama Departmanı"/>
    <s v="Dijital Pazarlama Uzmanı"/>
    <n v="58875"/>
    <d v="2023-12-31T00:00:00"/>
    <n v="7"/>
    <s v="20 GÜN"/>
  </r>
  <r>
    <s v="Azra Çelik"/>
    <x v="2"/>
    <s v="10.10.2017"/>
    <s v="0563 363 63 63"/>
    <s v="Hukuk Departmanı"/>
    <s v="Avukat"/>
    <n v="60000"/>
    <d v="2023-12-31T00:00:00"/>
    <n v="6"/>
    <s v="20 GÜN"/>
  </r>
  <r>
    <s v="Ömer Göçer"/>
    <x v="1"/>
    <s v="30.11.2019"/>
    <s v="0577 677 67 65"/>
    <s v="İnsan Kaynakları Departmanı"/>
    <s v="İnsan Kaynakları Yöneticisi"/>
    <n v="57153"/>
    <d v="2023-12-31T00:00:00"/>
    <n v="4"/>
    <s v="14 GÜN"/>
  </r>
  <r>
    <s v="Akın Akyüz"/>
    <x v="1"/>
    <s v="16.09.2013"/>
    <s v="0333 233 36 63"/>
    <s v="IT Departmanı"/>
    <s v="Bilgi Güvenliği Uzmanı"/>
    <n v="60245"/>
    <d v="2023-12-31T00:00:00"/>
    <n v="10"/>
    <s v="20 GÜN"/>
  </r>
  <r>
    <s v="Hilal Adlim"/>
    <x v="2"/>
    <s v="06.02.2017"/>
    <s v="0522 322 52 32"/>
    <s v="Üretim Departmanı"/>
    <s v="Üretim Planlama"/>
    <n v="57216"/>
    <d v="2023-12-31T00:00:00"/>
    <n v="6"/>
    <s v="20 GÜN"/>
  </r>
  <r>
    <s v="Bahar Aslı"/>
    <x v="0"/>
    <s v="09.11.2013"/>
    <s v="0566 456 56 56"/>
    <s v="Üretim Departmanı"/>
    <s v="Ürün Geliştirme Mühendisi"/>
    <n v="52267"/>
    <d v="2023-12-31T00:00:00"/>
    <n v="10"/>
    <s v="20 GÜN"/>
  </r>
  <r>
    <s v="Ahmet Çelikkol"/>
    <x v="1"/>
    <s v="29.06.2017"/>
    <s v="0146 546 46 46"/>
    <s v="Üretim Departmanı"/>
    <s v="Ürün Şefi"/>
    <n v="50124"/>
    <d v="2023-12-31T00:00:00"/>
    <n v="6"/>
    <s v="20 GÜN"/>
  </r>
  <r>
    <s v="Hakkı Ali Doğan"/>
    <x v="1"/>
    <s v="09.10.2019"/>
    <s v="0175 577 45 57"/>
    <s v="IT Departmanı"/>
    <s v="Bilişim Uzmanı"/>
    <n v="53354"/>
    <d v="2023-12-31T00:00:00"/>
    <n v="4"/>
    <s v="14 GÜN"/>
  </r>
  <r>
    <s v="Mualla Gündüz"/>
    <x v="0"/>
    <s v="12.11.2015"/>
    <s v="0537 714 15 08"/>
    <s v="Finans Departmanı"/>
    <s v="Kurumsal Finans Danışmanı"/>
    <n v="54465"/>
    <d v="2023-12-31T00:00:00"/>
    <n v="8"/>
    <s v="20 GÜ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s v="Çiğdem Göçer"/>
    <s v="Kadın"/>
    <s v="20.08.2012"/>
    <s v="0444 444 44 44"/>
    <x v="0"/>
    <s v="Müdür"/>
    <n v="80000"/>
    <d v="2023-12-31T00:00:00"/>
    <n v="11"/>
    <s v="26 GÜN"/>
  </r>
  <r>
    <s v="İlayda Özmen"/>
    <s v="Kadın"/>
    <s v="28.08.2011"/>
    <s v="0666 666 66 66"/>
    <x v="0"/>
    <s v="CEO"/>
    <n v="80000"/>
    <d v="2023-12-31T00:00:00"/>
    <n v="12"/>
    <s v="26 GÜN"/>
  </r>
  <r>
    <s v="Eylem Lalek"/>
    <s v="Kadın"/>
    <s v="22.02.2012"/>
    <s v="0555 555 55 55"/>
    <x v="0"/>
    <s v="CEO"/>
    <n v="95000"/>
    <d v="2023-12-31T00:00:00"/>
    <n v="11"/>
    <s v="26 GÜN"/>
  </r>
  <r>
    <s v="Hasan Koç"/>
    <s v="Erkek"/>
    <s v="25.05.2015"/>
    <s v="0511 111 11 11"/>
    <x v="1"/>
    <s v="Dijital Pazarlama Uzmanı"/>
    <n v="50000"/>
    <d v="2023-12-31T00:00:00"/>
    <n v="8"/>
    <s v="20 GÜN"/>
  </r>
  <r>
    <s v="Muttalip Köse"/>
    <s v="Erkek"/>
    <s v="11.01.2014"/>
    <s v="0522 222 22 22"/>
    <x v="2"/>
    <s v="Müdür"/>
    <n v="45555"/>
    <d v="2023-12-31T00:00:00"/>
    <n v="9"/>
    <s v="20 GÜN"/>
  </r>
  <r>
    <s v="Ceren Erdeğer"/>
    <s v="Kadın "/>
    <s v="30.03.2019"/>
    <s v="0533 333 33 33"/>
    <x v="3"/>
    <s v="Avukat"/>
    <n v="60000"/>
    <d v="2023-12-31T00:00:00"/>
    <n v="4"/>
    <s v="14 GÜN"/>
  </r>
  <r>
    <s v="Can Hakan "/>
    <s v="Erkek"/>
    <s v="05.02.2017"/>
    <s v="0544 444 44 44"/>
    <x v="4"/>
    <s v="Bilgi Teknolojileri Yöneticisi"/>
    <n v="45555"/>
    <d v="2023-12-31T00:00:00"/>
    <n v="6"/>
    <s v="20 GÜN"/>
  </r>
  <r>
    <s v="Tunahan Gün"/>
    <s v="Erkek"/>
    <s v="02.01.2016"/>
    <s v="0555 444 45 45"/>
    <x v="5"/>
    <s v="Muhasebe Müdürü"/>
    <n v="55002"/>
    <d v="2023-12-31T00:00:00"/>
    <n v="7"/>
    <s v="20 GÜN"/>
  </r>
  <r>
    <s v="Geylani Sevinç"/>
    <s v="Kadın"/>
    <s v="05.06.2015"/>
    <s v="0555 455 45 65"/>
    <x v="6"/>
    <s v="Ar-ge Uzmanı"/>
    <n v="65258"/>
    <d v="2023-12-31T00:00:00"/>
    <n v="8"/>
    <s v="20 GÜN"/>
  </r>
  <r>
    <s v="Cenk Adıgüzel"/>
    <s v="Erkek"/>
    <s v="05.12.2016"/>
    <s v="0588 258 58 58"/>
    <x v="7"/>
    <s v="Kurumsal Finans Danışmanı"/>
    <n v="58854"/>
    <d v="2023-12-31T00:00:00"/>
    <n v="7"/>
    <s v="20 GÜN"/>
  </r>
  <r>
    <s v="Rümeysa Göksu"/>
    <s v="Kadın"/>
    <s v="30.09.2021"/>
    <s v="0622 622 22 22"/>
    <x v="2"/>
    <s v="Müdür"/>
    <n v="50260"/>
    <d v="2023-12-31T00:00:00"/>
    <n v="2"/>
    <s v="14 GÜN"/>
  </r>
  <r>
    <s v="Sadi Esen"/>
    <s v="Erkek"/>
    <s v="03.07.2014"/>
    <s v="0999 999 99 99"/>
    <x v="8"/>
    <s v="Üretim Planlama"/>
    <n v="69997"/>
    <d v="2023-12-31T00:00:00"/>
    <n v="9"/>
    <s v="20 GÜN"/>
  </r>
  <r>
    <s v="Eren Köse"/>
    <s v="Erkek"/>
    <d v="2015-07-25T00:00:00"/>
    <s v="0445 544 54 45"/>
    <x v="4"/>
    <s v="Bilgi Güvenliği Uzmanı"/>
    <n v="70550"/>
    <d v="2023-12-31T00:00:00"/>
    <n v="8"/>
    <s v="20 GÜN"/>
  </r>
  <r>
    <s v="Çağla Hür"/>
    <s v="Kadın"/>
    <d v="2016-07-14T00:00:00"/>
    <s v="0664 654 54 54"/>
    <x v="1"/>
    <s v="Dijital Pazarlama Uzmanı"/>
    <n v="58875"/>
    <d v="2023-12-31T00:00:00"/>
    <n v="7"/>
    <s v="20 GÜN"/>
  </r>
  <r>
    <s v="Azra Çelik"/>
    <s v="Kadın "/>
    <s v="10.10.2017"/>
    <s v="0563 363 63 63"/>
    <x v="3"/>
    <s v="Avukat"/>
    <n v="60000"/>
    <d v="2023-12-31T00:00:00"/>
    <n v="6"/>
    <s v="20 GÜN"/>
  </r>
  <r>
    <s v="Ömer Göçer"/>
    <s v="Erkek"/>
    <s v="30.11.2019"/>
    <s v="0577 677 67 65"/>
    <x v="9"/>
    <s v="İnsan Kaynakları Yöneticisi"/>
    <n v="57153"/>
    <d v="2023-12-31T00:00:00"/>
    <n v="4"/>
    <s v="14 GÜN"/>
  </r>
  <r>
    <s v="Akın Akyüz"/>
    <s v="Erkek"/>
    <s v="16.09.2013"/>
    <s v="0333 233 36 63"/>
    <x v="4"/>
    <s v="Bilgi Güvenliği Uzmanı"/>
    <n v="60245"/>
    <d v="2023-12-31T00:00:00"/>
    <n v="10"/>
    <s v="20 GÜN"/>
  </r>
  <r>
    <s v="Hilal Adlim"/>
    <s v="Kadın "/>
    <s v="06.02.2017"/>
    <s v="0522 322 52 32"/>
    <x v="8"/>
    <s v="Üretim Planlama"/>
    <n v="57216"/>
    <d v="2023-12-31T00:00:00"/>
    <n v="6"/>
    <s v="20 GÜN"/>
  </r>
  <r>
    <s v="Bahar Aslı"/>
    <s v="Kadın"/>
    <s v="09.11.2013"/>
    <s v="0566 456 56 56"/>
    <x v="8"/>
    <s v="Ürün Geliştirme Mühendisi"/>
    <n v="52267"/>
    <d v="2023-12-31T00:00:00"/>
    <n v="10"/>
    <s v="20 GÜN"/>
  </r>
  <r>
    <s v="Ahmet Çelikkol"/>
    <s v="Erkek"/>
    <s v="29.06.2017"/>
    <s v="0146 546 46 46"/>
    <x v="8"/>
    <s v="Ürün Şefi"/>
    <n v="50124"/>
    <d v="2023-12-31T00:00:00"/>
    <n v="6"/>
    <s v="20 GÜN"/>
  </r>
  <r>
    <s v="Hakkı Ali Doğan"/>
    <s v="Erkek"/>
    <s v="09.10.2019"/>
    <s v="0175 577 45 57"/>
    <x v="4"/>
    <s v="Bilişim Uzmanı"/>
    <n v="53354"/>
    <d v="2023-12-31T00:00:00"/>
    <n v="4"/>
    <s v="14 GÜN"/>
  </r>
  <r>
    <s v="Mualla Gündüz"/>
    <s v="Kadın"/>
    <s v="12.11.2015"/>
    <s v="0537 714 15 08"/>
    <x v="7"/>
    <s v="Kurumsal Finans Danışmanı"/>
    <n v="54465"/>
    <d v="2023-12-31T00:00:00"/>
    <n v="8"/>
    <s v="20 GÜ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1DBF12-8A16-47BC-91CC-B9C58253D23A}" name="PivotTable19" cacheId="1" applyNumberFormats="0" applyBorderFormats="0" applyFontFormats="0" applyPatternFormats="0" applyAlignmentFormats="0" applyWidthHeightFormats="1" dataCaption="Değerler" updatedVersion="8" minRefreshableVersion="3" useAutoFormatting="1" rowGrandTotals="0" colGrandTotals="0" itemPrintTitles="1" createdVersion="8" indent="0" compact="0" compactData="0" multipleFieldFilters="0" chartFormat="3">
  <location ref="X20:Y30" firstHeaderRow="1" firstDataRow="1" firstDataCol="1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Departman İsimleri" axis="axisRow" dataField="1" compact="0" outline="0" showAll="0" defaultSubtotal="0">
      <items count="10">
        <item x="6"/>
        <item x="7"/>
        <item x="2"/>
        <item x="3"/>
        <item x="4"/>
        <item x="9"/>
        <item x="5"/>
        <item x="1"/>
        <item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Personel Sayısı" fld="4" subtotal="count" baseField="0" baseItem="0"/>
  </dataFields>
  <formats count="4">
    <format dxfId="3">
      <pivotArea field="4" type="button" dataOnly="0" labelOnly="1" outline="0" axis="axisRow" fieldPosition="0"/>
    </format>
    <format dxfId="2">
      <pivotArea dataOnly="0" labelOnly="1" outline="0" axis="axisValues" fieldPosition="0"/>
    </format>
    <format dxfId="1">
      <pivotArea outline="0" collapsedLevelsAreSubtotals="1" fieldPosition="0"/>
    </format>
    <format dxfId="0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4AB4D8-3B8A-4B86-8BAE-F830D6FE7BAE}" name="PivotTable9" cacheId="0" applyNumberFormats="0" applyBorderFormats="0" applyFontFormats="0" applyPatternFormats="0" applyAlignmentFormats="0" applyWidthHeightFormats="1" dataCaption="Değerler" updatedVersion="8" minRefreshableVersion="3" useAutoFormatting="1" rowGrandTotals="0" colGrandTotals="0" itemPrintTitles="1" createdVersion="8" indent="0" compact="0" compactData="0" multipleFieldFilters="0" chartFormat="8">
  <location ref="A3:B5" firstHeaderRow="1" firstDataRow="1" firstDataCol="1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sortType="ascending" defaultSubtotal="0">
      <items count="3">
        <item x="1"/>
        <item x="0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">
    <i>
      <x/>
    </i>
    <i>
      <x v="1"/>
    </i>
  </rowItems>
  <colItems count="1">
    <i/>
  </colItems>
  <dataFields count="1">
    <dataField name="Cinsiyet Dağılım Sayısı" fld="1" subtotal="count" baseField="0" baseItem="0"/>
  </dataFields>
  <formats count="8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1" type="button" dataOnly="0" labelOnly="1" outline="0" axis="axisRow" fieldPosition="0"/>
    </format>
    <format dxfId="8">
      <pivotArea dataOnly="0" labelOnly="1" outline="0" fieldPosition="0">
        <references count="1">
          <reference field="1" count="0"/>
        </references>
      </pivotArea>
    </format>
    <format dxfId="7">
      <pivotArea dataOnly="0" labelOnly="1" outline="0" axis="axisValues" fieldPosition="0"/>
    </format>
    <format dxfId="6">
      <pivotArea dataOnly="0" outline="0" fieldPosition="0">
        <references count="1">
          <reference field="1" count="0"/>
        </references>
      </pivotArea>
    </format>
    <format dxfId="5">
      <pivotArea dataOnly="0" outline="0" fieldPosition="0">
        <references count="1">
          <reference field="1" count="0"/>
        </references>
      </pivotArea>
    </format>
    <format dxfId="4">
      <pivotArea dataOnly="0" outline="0" fieldPosition="0">
        <references count="1">
          <reference field="1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E701BF-A1FD-4185-AF9D-E9D1EE3FDC2D}" name="Tablo1" displayName="Tablo1" ref="A1:L4" totalsRowShown="0" headerRowDxfId="52" dataDxfId="51">
  <autoFilter ref="A1:L4" xr:uid="{C3E701BF-A1FD-4185-AF9D-E9D1EE3FDC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ECC7FD95-8495-46E9-8497-968AF42A19B9}" name="Sütun1" dataDxfId="50"/>
    <tableColumn id="12" xr3:uid="{C2929F18-FAE8-48E2-9F16-3937073DBB7C}" name="Sütun2" dataDxfId="49"/>
    <tableColumn id="2" xr3:uid="{148C6D98-0DB9-494A-9165-2188D20A0902}" name="Cinsiyet" dataDxfId="48"/>
    <tableColumn id="3" xr3:uid="{446BD345-8D95-4AEF-9565-387881478F62}" name="Sütun3" dataDxfId="47"/>
    <tableColumn id="4" xr3:uid="{EBE2FB8C-5E3C-4705-A562-A70032A1C471}" name="Sütun4" dataDxfId="46"/>
    <tableColumn id="5" xr3:uid="{C58F0DFC-462A-457F-B1FD-FFFA058F105F}" name="Sütun5" dataDxfId="45"/>
    <tableColumn id="6" xr3:uid="{A6226D8B-41FC-460F-B2E7-7D374B6176E2}" name="Sütun6" dataDxfId="44"/>
    <tableColumn id="7" xr3:uid="{22197D34-6585-4C06-AF4F-4921CDB0762A}" name="Sütun7" dataDxfId="43"/>
    <tableColumn id="8" xr3:uid="{81A8D743-97DC-421F-A53E-826448727233}" name="Sütun8" dataDxfId="42">
      <calculatedColumnFormula>TODAY()</calculatedColumnFormula>
    </tableColumn>
    <tableColumn id="9" xr3:uid="{440DE39D-CE09-4F5A-AD10-014528F13CC5}" name="Sütun9" dataDxfId="41">
      <calculatedColumnFormula>YEAR(Tablo1[[#This Row],[Sütun8]])-YEAR(Tablo1[[#This Row],[Sütun3]])</calculatedColumnFormula>
    </tableColumn>
    <tableColumn id="13" xr3:uid="{E252B97A-0119-4C27-897F-BF964F553C51}" name="Sütun92" dataDxfId="40">
      <calculatedColumnFormula>IF(Tablo1[[#This Row],[Sütun9]]&lt;=5,"14",IF(Tablo1[[#This Row],[Sütun9]]&lt;=10,"20",IF(Tablo1[[#This Row],[Sütun9]]&lt;=15,"26","")))</calculatedColumnFormula>
    </tableColumn>
    <tableColumn id="10" xr3:uid="{E577692A-A09E-4C90-89D9-5D4C5CC0DAC2}" name="Sütun93" dataDxfId="39">
      <calculatedColumnFormula>SUMIF(Tablo4[İsim Soyisim],personelBilgi!B:B,Tablo4[Toplam İzin Günü Sayısı])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AAA20C-80E4-4B1E-B734-8AA948158815}" name="Tablo4" displayName="Tablo4" ref="B3:E6" headerRowDxfId="38" dataDxfId="37">
  <autoFilter ref="B3:E6" xr:uid="{54AAA20C-80E4-4B1E-B734-8AA948158815}"/>
  <tableColumns count="4">
    <tableColumn id="1" xr3:uid="{365E513D-AD9C-48A4-9AC3-ADD3D49C4E2B}" name="İsim Soyisim" totalsRowLabel="Toplam" dataDxfId="36" totalsRowDxfId="35"/>
    <tableColumn id="2" xr3:uid="{BB47769F-2494-4DBB-9719-26293A7D8174}" name="İzin Başlangıc Tarihi" dataDxfId="34" totalsRowDxfId="33" dataCellStyle="Çıkış"/>
    <tableColumn id="3" xr3:uid="{BADE5DB2-EBB0-4446-90B8-834A4741AEDA}" name="İzin Bitiş Tarihi" dataDxfId="32" totalsRowDxfId="31" dataCellStyle="Çıkış"/>
    <tableColumn id="4" xr3:uid="{6D39E2A5-DC70-445D-869B-9456FF47FD07}" name="Toplam İzin Günü Sayısı" totalsRowFunction="sum" dataDxfId="30" totalsRowDxfId="29" dataCellStyle="Çıkış">
      <calculatedColumnFormula>Tablo4[[#This Row],[İzin Bitiş Tarihi]]-Tablo4[[#This Row],[İzin Başlangıc Tarihi]]</calculatedColumnFormula>
    </tableColumn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2B47EFF-63B5-435B-BD77-7BB4315ECD03}" name="Tablo3" displayName="Tablo3" ref="B2:O24" headerRowCount="0" totalsRowShown="0" headerRowDxfId="28">
  <tableColumns count="14">
    <tableColumn id="1" xr3:uid="{F20B2158-529A-4DE1-8F7D-0047D62B6EE0}" name="Sütun1" dataDxfId="27"/>
    <tableColumn id="2" xr3:uid="{94374AF1-6DB9-4ECF-B849-F70E5952CE8B}" name="Mesleki Yeterlilik" headerRowDxfId="26"/>
    <tableColumn id="3" xr3:uid="{82FA5B66-6ABF-4378-95FE-3059222700CD}" name="Sütun2" headerRowDxfId="25"/>
    <tableColumn id="4" xr3:uid="{695BC665-0074-45B8-AA28-001F79BC27CE}" name="Sütun3" headerRowDxfId="24"/>
    <tableColumn id="5" xr3:uid="{60C22D53-C5BF-444A-8202-08B2F0BE6D8E}" name="Sütun4" headerRowDxfId="23"/>
    <tableColumn id="6" xr3:uid="{0590AC0C-73D7-489F-B406-36C332635C04}" name="Sütun5" headerRowDxfId="22"/>
    <tableColumn id="7" xr3:uid="{D28A9C24-90D8-422D-99D3-B6C5DE2BE90B}" name="Sütun6" headerRowDxfId="21"/>
    <tableColumn id="8" xr3:uid="{7F0645E2-D8D0-4F4D-A2D1-F7FCCB1563CD}" name="Mesleki YeterlilikPuanı " headerRowDxfId="20" dataDxfId="19">
      <calculatedColumnFormula>SUM(Tablo3[[#This Row],[Mesleki Yeterlilik]],Tablo3[[#This Row],[Sütun2]],Tablo3[[#This Row],[Sütun3]],Tablo3[[#This Row],[Sütun4]],Tablo3[[#This Row],[Sütun5]],Tablo3[[#This Row],[Sütun6]])</calculatedColumnFormula>
    </tableColumn>
    <tableColumn id="9" xr3:uid="{282836D4-1BAC-4741-97E8-AE77073EB9EF}" name="Davranışsal Yeterlilik" headerRowDxfId="18"/>
    <tableColumn id="10" xr3:uid="{0B9FDF4E-3AEC-4505-A89B-6A9C8144BDD7}" name="Sütun7" headerRowDxfId="17"/>
    <tableColumn id="11" xr3:uid="{C592FE3F-024B-46C8-B65C-F7C9DA89CB4D}" name="Sütun8" headerRowDxfId="16"/>
    <tableColumn id="12" xr3:uid="{9EFF1FFC-C425-45CB-91AF-1C8919B42C9F}" name="Sütun9" headerRowDxfId="15"/>
    <tableColumn id="13" xr3:uid="{BAE64B05-B6A4-4062-8AE0-8D93B4073722}" name="Sütun10" headerRowDxfId="14"/>
    <tableColumn id="14" xr3:uid="{A1B1E9F1-84EC-4605-A541-B79BD168F1CC}" name="Davranışsal Yeterlilik Puanı" headerRowDxfId="13" dataDxfId="12">
      <calculatedColumnFormula>SUM(J3,K3,L3,M3,N3,)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AG908"/>
  <sheetViews>
    <sheetView topLeftCell="A7" zoomScale="70" zoomScaleNormal="70" workbookViewId="0">
      <selection activeCell="H38" sqref="H38"/>
    </sheetView>
  </sheetViews>
  <sheetFormatPr defaultRowHeight="14.4" x14ac:dyDescent="0.3"/>
  <sheetData>
    <row r="1" spans="1:33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</row>
    <row r="2" spans="1:33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</row>
    <row r="3" spans="1:33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</row>
    <row r="4" spans="1:33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</row>
    <row r="5" spans="1:33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</row>
    <row r="6" spans="1:33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</row>
    <row r="7" spans="1:33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</row>
    <row r="9" spans="1:33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</row>
    <row r="10" spans="1:33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</row>
    <row r="11" spans="1:33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</row>
    <row r="12" spans="1:33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</row>
    <row r="14" spans="1:33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</row>
    <row r="15" spans="1:33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</row>
    <row r="16" spans="1:33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</row>
    <row r="17" spans="1:33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</row>
    <row r="18" spans="1:33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 t="s">
        <v>77</v>
      </c>
      <c r="AA18" s="22"/>
      <c r="AB18" s="22"/>
      <c r="AC18" s="22"/>
      <c r="AD18" s="22"/>
      <c r="AE18" s="22"/>
      <c r="AF18" s="22"/>
      <c r="AG18" s="22"/>
    </row>
    <row r="19" spans="1:33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</row>
    <row r="20" spans="1:33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</row>
    <row r="21" spans="1:33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</row>
    <row r="22" spans="1:33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</row>
    <row r="23" spans="1:33" x14ac:dyDescent="0.3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</row>
    <row r="24" spans="1:33" x14ac:dyDescent="0.3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</row>
    <row r="25" spans="1:33" x14ac:dyDescent="0.3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</row>
    <row r="26" spans="1:33" x14ac:dyDescent="0.3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</row>
    <row r="27" spans="1:33" x14ac:dyDescent="0.3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</row>
    <row r="28" spans="1:33" x14ac:dyDescent="0.3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</row>
    <row r="29" spans="1:33" x14ac:dyDescent="0.3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</row>
    <row r="30" spans="1:33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</row>
    <row r="31" spans="1:33" x14ac:dyDescent="0.3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</row>
    <row r="32" spans="1:33" x14ac:dyDescent="0.3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</row>
    <row r="33" spans="1:33" x14ac:dyDescent="0.3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</row>
    <row r="34" spans="1:33" x14ac:dyDescent="0.3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</row>
    <row r="35" spans="1:33" x14ac:dyDescent="0.3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</row>
    <row r="36" spans="1:33" x14ac:dyDescent="0.3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</row>
    <row r="37" spans="1:33" x14ac:dyDescent="0.3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</row>
    <row r="38" spans="1:33" x14ac:dyDescent="0.3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</row>
    <row r="39" spans="1:33" x14ac:dyDescent="0.3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</row>
    <row r="40" spans="1:33" x14ac:dyDescent="0.3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</row>
    <row r="41" spans="1:33" x14ac:dyDescent="0.3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</row>
    <row r="42" spans="1:33" x14ac:dyDescent="0.3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</row>
    <row r="43" spans="1:33" x14ac:dyDescent="0.3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</row>
    <row r="44" spans="1:33" x14ac:dyDescent="0.3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</row>
    <row r="45" spans="1:33" x14ac:dyDescent="0.3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</row>
    <row r="46" spans="1:33" x14ac:dyDescent="0.3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</row>
    <row r="47" spans="1:33" x14ac:dyDescent="0.3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</row>
    <row r="48" spans="1:33" x14ac:dyDescent="0.3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</row>
    <row r="49" spans="1:33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</row>
    <row r="50" spans="1:33" x14ac:dyDescent="0.3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</row>
    <row r="51" spans="1:33" x14ac:dyDescent="0.3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</row>
    <row r="52" spans="1:33" x14ac:dyDescent="0.3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</row>
    <row r="53" spans="1:33" x14ac:dyDescent="0.3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</row>
    <row r="54" spans="1:33" x14ac:dyDescent="0.3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</row>
    <row r="55" spans="1:33" x14ac:dyDescent="0.3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</row>
    <row r="56" spans="1:33" x14ac:dyDescent="0.3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</row>
    <row r="57" spans="1:33" x14ac:dyDescent="0.3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</row>
    <row r="58" spans="1:33" x14ac:dyDescent="0.3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</row>
    <row r="59" spans="1:33" x14ac:dyDescent="0.3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</row>
    <row r="60" spans="1:33" x14ac:dyDescent="0.3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</row>
    <row r="61" spans="1:33" x14ac:dyDescent="0.3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</row>
    <row r="62" spans="1:33" x14ac:dyDescent="0.3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</row>
    <row r="63" spans="1:33" x14ac:dyDescent="0.3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</row>
    <row r="64" spans="1:33" x14ac:dyDescent="0.3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</row>
    <row r="65" spans="1:33" x14ac:dyDescent="0.3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</row>
    <row r="66" spans="1:33" x14ac:dyDescent="0.3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</row>
    <row r="67" spans="1:33" x14ac:dyDescent="0.3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</row>
    <row r="68" spans="1:33" x14ac:dyDescent="0.3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</row>
    <row r="69" spans="1:33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 spans="1:33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1:33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1:33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1:33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1:33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1:33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1:33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1:33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1:33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1:33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1:33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1:33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1:33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1:33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1:33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1:33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1:33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</row>
    <row r="88" spans="1:33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</row>
    <row r="89" spans="1:33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</row>
    <row r="90" spans="1:33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</row>
    <row r="91" spans="1:33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</row>
    <row r="92" spans="1:33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</row>
    <row r="93" spans="1:33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</row>
    <row r="94" spans="1:33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</row>
    <row r="95" spans="1:33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</row>
    <row r="96" spans="1:33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</row>
    <row r="97" spans="1:33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</row>
    <row r="98" spans="1:33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</row>
    <row r="99" spans="1:33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</row>
    <row r="100" spans="1:33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</row>
    <row r="101" spans="1:33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</row>
    <row r="102" spans="1:33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</row>
    <row r="103" spans="1:33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</row>
    <row r="104" spans="1:33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</row>
    <row r="105" spans="1:33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</row>
    <row r="106" spans="1:33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</row>
    <row r="107" spans="1:33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</row>
    <row r="108" spans="1:33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</row>
    <row r="109" spans="1:33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</row>
    <row r="110" spans="1:33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</row>
    <row r="111" spans="1:33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</row>
    <row r="112" spans="1:33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</row>
    <row r="113" spans="1:33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</row>
    <row r="114" spans="1:33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</row>
    <row r="115" spans="1:33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</row>
    <row r="116" spans="1:33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</row>
    <row r="117" spans="1:33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</row>
    <row r="118" spans="1:33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</row>
    <row r="119" spans="1:33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</row>
    <row r="120" spans="1:33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</row>
    <row r="121" spans="1:33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</row>
    <row r="122" spans="1:33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</row>
    <row r="123" spans="1:33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</row>
    <row r="124" spans="1:33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</row>
    <row r="125" spans="1:33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</row>
    <row r="126" spans="1:33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</row>
    <row r="127" spans="1:33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</row>
    <row r="128" spans="1:33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</row>
    <row r="129" spans="1:33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</row>
    <row r="130" spans="1:33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</row>
    <row r="131" spans="1:33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</row>
    <row r="132" spans="1:33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</row>
    <row r="133" spans="1:33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</row>
    <row r="134" spans="1:33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</row>
    <row r="135" spans="1:33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</row>
    <row r="136" spans="1:33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</row>
    <row r="137" spans="1:33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</row>
    <row r="138" spans="1:33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</row>
    <row r="139" spans="1:33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</row>
    <row r="140" spans="1:33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</row>
    <row r="141" spans="1:33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</row>
    <row r="142" spans="1:33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</row>
    <row r="143" spans="1:33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</row>
    <row r="144" spans="1:33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</row>
    <row r="145" spans="1:33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</row>
    <row r="146" spans="1:33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</row>
    <row r="147" spans="1:33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</row>
    <row r="148" spans="1:33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</row>
    <row r="149" spans="1:33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</row>
    <row r="150" spans="1:33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</row>
    <row r="151" spans="1:33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</row>
    <row r="152" spans="1:33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</row>
    <row r="153" spans="1:33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</row>
    <row r="154" spans="1:33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</row>
    <row r="155" spans="1:33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</row>
    <row r="156" spans="1:33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</row>
    <row r="157" spans="1:33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</row>
    <row r="158" spans="1:33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</row>
    <row r="159" spans="1:33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</row>
    <row r="160" spans="1:33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</row>
    <row r="161" spans="1:33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</row>
    <row r="162" spans="1:33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</row>
    <row r="163" spans="1:33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</row>
    <row r="164" spans="1:33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</row>
    <row r="165" spans="1:33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</row>
    <row r="166" spans="1:33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</row>
    <row r="167" spans="1:33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</row>
    <row r="168" spans="1:33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</row>
    <row r="169" spans="1:33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</row>
    <row r="170" spans="1:33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</row>
    <row r="171" spans="1:33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</row>
    <row r="172" spans="1:33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</row>
    <row r="173" spans="1:33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</row>
    <row r="174" spans="1:33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</row>
    <row r="175" spans="1:33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</row>
    <row r="176" spans="1:33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</row>
    <row r="177" spans="1:33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</row>
    <row r="178" spans="1:33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</row>
    <row r="179" spans="1:33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</row>
    <row r="180" spans="1:33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</row>
    <row r="181" spans="1:33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</row>
    <row r="182" spans="1:33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</row>
    <row r="183" spans="1:33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</row>
    <row r="184" spans="1:33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</row>
    <row r="185" spans="1:33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</row>
    <row r="186" spans="1:33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</row>
    <row r="187" spans="1:33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</row>
    <row r="188" spans="1:33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</row>
    <row r="189" spans="1:33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</row>
    <row r="190" spans="1:33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</row>
    <row r="191" spans="1:33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</row>
    <row r="192" spans="1:33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</row>
    <row r="193" spans="1:33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</row>
    <row r="194" spans="1:33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</row>
    <row r="195" spans="1:33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</row>
    <row r="196" spans="1:33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</row>
    <row r="197" spans="1:33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</row>
    <row r="198" spans="1:33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</row>
    <row r="199" spans="1:33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</row>
    <row r="200" spans="1:33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</row>
    <row r="201" spans="1:33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</row>
    <row r="202" spans="1:33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</row>
    <row r="203" spans="1:33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</row>
    <row r="204" spans="1:33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</row>
    <row r="205" spans="1:33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</row>
    <row r="206" spans="1:33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</row>
    <row r="207" spans="1:33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</row>
    <row r="208" spans="1:33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</row>
    <row r="209" spans="1:33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</row>
    <row r="210" spans="1:33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</row>
    <row r="211" spans="1:33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</row>
    <row r="212" spans="1:33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</row>
    <row r="213" spans="1:33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</row>
    <row r="214" spans="1:33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</row>
    <row r="215" spans="1:33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</row>
    <row r="216" spans="1:33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</row>
    <row r="217" spans="1:33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</row>
    <row r="218" spans="1:33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</row>
    <row r="219" spans="1:33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</row>
    <row r="220" spans="1:33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</row>
    <row r="221" spans="1:33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</row>
    <row r="222" spans="1:33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</row>
    <row r="223" spans="1:33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</row>
    <row r="224" spans="1:33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</row>
    <row r="225" spans="1:33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</row>
    <row r="226" spans="1:33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</row>
    <row r="227" spans="1:33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</row>
    <row r="228" spans="1:33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</row>
    <row r="229" spans="1:33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</row>
    <row r="230" spans="1:33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</row>
    <row r="231" spans="1:33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</row>
    <row r="232" spans="1:33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</row>
    <row r="233" spans="1:33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</row>
    <row r="234" spans="1:33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</row>
    <row r="235" spans="1:33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</row>
    <row r="236" spans="1:33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</row>
    <row r="237" spans="1:33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</row>
    <row r="238" spans="1:33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</row>
    <row r="239" spans="1:33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</row>
    <row r="240" spans="1:33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</row>
    <row r="241" spans="1:33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</row>
    <row r="242" spans="1:33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</row>
    <row r="243" spans="1:33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</row>
    <row r="244" spans="1:33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</row>
    <row r="245" spans="1:33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</row>
    <row r="246" spans="1:33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</row>
    <row r="247" spans="1:33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</row>
    <row r="248" spans="1:33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</row>
    <row r="249" spans="1:33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</row>
    <row r="250" spans="1:33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</row>
    <row r="251" spans="1:33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</row>
    <row r="252" spans="1:33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</row>
    <row r="253" spans="1:33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</row>
    <row r="254" spans="1:33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</row>
    <row r="255" spans="1:33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</row>
    <row r="256" spans="1:33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</row>
    <row r="257" spans="1:33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</row>
    <row r="258" spans="1:33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</row>
    <row r="259" spans="1:33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</row>
    <row r="260" spans="1:33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</row>
    <row r="261" spans="1:33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</row>
    <row r="262" spans="1:33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</row>
    <row r="263" spans="1:33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</row>
    <row r="264" spans="1:33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</row>
    <row r="265" spans="1:33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</row>
    <row r="266" spans="1:33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</row>
    <row r="267" spans="1:33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</row>
    <row r="268" spans="1:33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</row>
    <row r="269" spans="1:33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</row>
    <row r="270" spans="1:33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</row>
    <row r="271" spans="1:33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</row>
    <row r="272" spans="1:33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</row>
    <row r="273" spans="1:33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</row>
    <row r="274" spans="1:33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</row>
    <row r="275" spans="1:33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</row>
    <row r="276" spans="1:33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</row>
    <row r="277" spans="1:33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</row>
    <row r="278" spans="1:33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</row>
    <row r="279" spans="1:33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</row>
    <row r="280" spans="1:33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</row>
    <row r="281" spans="1:33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</row>
    <row r="282" spans="1:33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</row>
    <row r="283" spans="1:33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</row>
    <row r="284" spans="1:33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</row>
    <row r="285" spans="1:33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</row>
    <row r="286" spans="1:33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</row>
    <row r="287" spans="1:33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</row>
    <row r="288" spans="1:33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</row>
    <row r="289" spans="1:33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</row>
    <row r="290" spans="1:33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</row>
    <row r="291" spans="1:33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</row>
    <row r="292" spans="1:33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</row>
    <row r="293" spans="1:33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</row>
    <row r="294" spans="1:33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</row>
    <row r="295" spans="1:33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</row>
    <row r="296" spans="1:33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</row>
    <row r="297" spans="1:33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</row>
    <row r="298" spans="1:33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</row>
    <row r="299" spans="1:33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</row>
    <row r="300" spans="1:33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</row>
    <row r="301" spans="1:33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</row>
    <row r="302" spans="1:33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</row>
    <row r="303" spans="1:33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</row>
    <row r="304" spans="1:33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</row>
    <row r="305" spans="1:33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</row>
    <row r="306" spans="1:33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</row>
    <row r="307" spans="1:33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</row>
    <row r="308" spans="1:33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</row>
    <row r="309" spans="1:33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</row>
    <row r="310" spans="1:33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</row>
    <row r="311" spans="1:33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</row>
    <row r="312" spans="1:33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</row>
    <row r="313" spans="1:33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</row>
    <row r="314" spans="1:33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</row>
    <row r="315" spans="1:33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</row>
    <row r="316" spans="1:33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</row>
    <row r="317" spans="1:33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</row>
    <row r="318" spans="1:33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</row>
    <row r="319" spans="1:33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</row>
    <row r="320" spans="1:33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</row>
    <row r="321" spans="1:33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</row>
    <row r="322" spans="1:33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</row>
    <row r="323" spans="1:33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</row>
    <row r="324" spans="1:33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</row>
    <row r="325" spans="1:33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</row>
    <row r="326" spans="1:33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</row>
    <row r="327" spans="1:33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</row>
    <row r="328" spans="1:33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</row>
    <row r="329" spans="1:33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</row>
    <row r="330" spans="1:33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</row>
    <row r="331" spans="1:33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</row>
    <row r="332" spans="1:33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</row>
    <row r="333" spans="1:33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</row>
    <row r="334" spans="1:33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</row>
    <row r="335" spans="1:33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</row>
    <row r="336" spans="1:33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</row>
    <row r="337" spans="1:33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</row>
    <row r="338" spans="1:33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</row>
    <row r="339" spans="1:33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</row>
    <row r="340" spans="1:33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</row>
    <row r="341" spans="1:33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</row>
    <row r="342" spans="1:33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</row>
    <row r="343" spans="1:33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</row>
    <row r="344" spans="1:33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</row>
    <row r="345" spans="1:33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</row>
    <row r="346" spans="1:33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</row>
    <row r="347" spans="1:33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</row>
    <row r="348" spans="1:33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</row>
    <row r="349" spans="1:33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</row>
    <row r="350" spans="1:33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</row>
    <row r="351" spans="1:33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</row>
    <row r="352" spans="1:33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</row>
    <row r="353" spans="1:33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</row>
    <row r="354" spans="1:33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</row>
    <row r="355" spans="1:33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</row>
    <row r="356" spans="1:33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</row>
    <row r="357" spans="1:33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</row>
    <row r="358" spans="1:33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</row>
    <row r="359" spans="1:33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</row>
    <row r="360" spans="1:33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</row>
    <row r="361" spans="1:33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</row>
    <row r="362" spans="1:33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</row>
    <row r="363" spans="1:33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</row>
    <row r="364" spans="1:33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</row>
    <row r="365" spans="1:33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</row>
    <row r="366" spans="1:33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</row>
    <row r="367" spans="1:33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</row>
    <row r="368" spans="1:33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</row>
    <row r="369" spans="1:33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</row>
    <row r="370" spans="1:33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</row>
    <row r="371" spans="1:33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</row>
    <row r="372" spans="1:33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</row>
    <row r="373" spans="1:33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</row>
    <row r="374" spans="1:33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</row>
    <row r="375" spans="1:33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</row>
    <row r="376" spans="1:33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</row>
    <row r="377" spans="1:33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</row>
    <row r="378" spans="1:33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</row>
    <row r="379" spans="1:33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</row>
    <row r="380" spans="1:33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</row>
    <row r="381" spans="1:33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</row>
    <row r="382" spans="1:33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</row>
    <row r="383" spans="1:33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</row>
    <row r="384" spans="1:33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</row>
    <row r="385" spans="1:33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</row>
    <row r="386" spans="1:33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</row>
    <row r="387" spans="1:33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</row>
    <row r="388" spans="1:33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</row>
    <row r="389" spans="1:33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</row>
    <row r="390" spans="1:33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</row>
    <row r="391" spans="1:33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</row>
    <row r="392" spans="1:33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</row>
    <row r="393" spans="1:33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</row>
    <row r="394" spans="1:33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</row>
    <row r="395" spans="1:33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</row>
    <row r="396" spans="1:33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</row>
    <row r="397" spans="1:33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</row>
    <row r="398" spans="1:33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</row>
    <row r="399" spans="1:33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</row>
    <row r="400" spans="1:33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</row>
    <row r="401" spans="1:33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</row>
    <row r="402" spans="1:33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</row>
    <row r="403" spans="1:33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</row>
    <row r="404" spans="1:33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</row>
    <row r="405" spans="1:33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</row>
    <row r="406" spans="1:33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</row>
    <row r="407" spans="1:33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</row>
    <row r="408" spans="1:33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</row>
    <row r="409" spans="1:33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</row>
    <row r="410" spans="1:33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</row>
    <row r="411" spans="1:33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</row>
    <row r="412" spans="1:33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</row>
    <row r="413" spans="1:33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</row>
    <row r="414" spans="1:33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</row>
    <row r="415" spans="1:33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</row>
    <row r="416" spans="1:33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</row>
    <row r="417" spans="1:33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</row>
    <row r="418" spans="1:33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</row>
    <row r="419" spans="1:33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</row>
    <row r="420" spans="1:33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</row>
    <row r="421" spans="1:33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</row>
    <row r="422" spans="1:33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</row>
    <row r="423" spans="1:33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</row>
    <row r="424" spans="1:33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</row>
    <row r="425" spans="1:33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</row>
    <row r="426" spans="1:33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</row>
    <row r="427" spans="1:33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</row>
    <row r="428" spans="1:33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</row>
    <row r="429" spans="1:33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</row>
    <row r="430" spans="1:33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</row>
    <row r="431" spans="1:33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</row>
    <row r="432" spans="1:33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</row>
    <row r="433" spans="1:33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</row>
    <row r="434" spans="1:33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</row>
    <row r="435" spans="1:33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</row>
    <row r="436" spans="1:33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</row>
    <row r="437" spans="1:33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</row>
    <row r="438" spans="1:33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</row>
    <row r="439" spans="1:33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</row>
    <row r="440" spans="1:33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</row>
    <row r="441" spans="1:33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</row>
    <row r="442" spans="1:33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</row>
    <row r="443" spans="1:33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</row>
    <row r="444" spans="1:33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</row>
    <row r="445" spans="1:33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</row>
    <row r="446" spans="1:33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</row>
    <row r="447" spans="1:33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</row>
    <row r="448" spans="1:33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</row>
    <row r="449" spans="1:33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</row>
    <row r="450" spans="1:33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</row>
    <row r="451" spans="1:33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</row>
    <row r="452" spans="1:33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</row>
    <row r="453" spans="1:33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</row>
    <row r="454" spans="1:33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</row>
    <row r="455" spans="1:33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</row>
    <row r="456" spans="1:33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</row>
    <row r="457" spans="1:33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</row>
    <row r="458" spans="1:33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</row>
    <row r="459" spans="1:33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</row>
    <row r="460" spans="1:33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</row>
    <row r="461" spans="1:33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</row>
    <row r="462" spans="1:33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</row>
    <row r="463" spans="1:33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</row>
    <row r="464" spans="1:33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</row>
    <row r="465" spans="1:33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</row>
    <row r="466" spans="1:33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</row>
    <row r="467" spans="1:33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</row>
    <row r="468" spans="1:33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</row>
    <row r="469" spans="1:33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</row>
    <row r="470" spans="1:33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</row>
    <row r="471" spans="1:33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</row>
    <row r="472" spans="1:33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</row>
    <row r="473" spans="1:33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</row>
    <row r="474" spans="1:33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</row>
    <row r="475" spans="1:33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</row>
    <row r="476" spans="1:33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</row>
    <row r="477" spans="1:33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</row>
    <row r="478" spans="1:33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</row>
    <row r="479" spans="1:33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</row>
    <row r="480" spans="1:33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</row>
    <row r="481" spans="1:33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</row>
    <row r="482" spans="1:33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</row>
    <row r="483" spans="1:33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</row>
    <row r="484" spans="1:33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</row>
    <row r="485" spans="1:33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</row>
    <row r="486" spans="1:33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</row>
    <row r="487" spans="1:33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</row>
    <row r="488" spans="1:33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</row>
    <row r="489" spans="1:33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</row>
    <row r="490" spans="1:33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</row>
    <row r="491" spans="1:33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</row>
    <row r="492" spans="1:33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</row>
    <row r="493" spans="1:33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</row>
    <row r="494" spans="1:33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</row>
    <row r="495" spans="1:33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</row>
    <row r="496" spans="1:33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</row>
    <row r="497" spans="1:33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</row>
    <row r="498" spans="1:33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</row>
    <row r="499" spans="1:33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</row>
    <row r="500" spans="1:33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</row>
    <row r="501" spans="1:33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</row>
    <row r="502" spans="1:33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</row>
    <row r="503" spans="1:33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</row>
    <row r="504" spans="1:33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</row>
    <row r="505" spans="1:33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</row>
    <row r="506" spans="1:33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</row>
    <row r="507" spans="1:33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</row>
    <row r="508" spans="1:33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</row>
    <row r="509" spans="1:33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</row>
    <row r="510" spans="1:33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</row>
    <row r="511" spans="1:33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</row>
    <row r="512" spans="1:33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</row>
    <row r="513" spans="1:33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</row>
    <row r="514" spans="1:33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</row>
    <row r="515" spans="1:33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</row>
    <row r="516" spans="1:33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</row>
    <row r="517" spans="1:33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</row>
    <row r="518" spans="1:33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</row>
    <row r="519" spans="1:33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</row>
    <row r="520" spans="1:33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</row>
    <row r="521" spans="1:33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</row>
    <row r="522" spans="1:33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</row>
    <row r="523" spans="1:33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</row>
    <row r="524" spans="1:33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</row>
    <row r="525" spans="1:33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</row>
    <row r="526" spans="1:33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</row>
    <row r="527" spans="1:33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</row>
    <row r="528" spans="1:33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</row>
    <row r="529" spans="1:33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</row>
    <row r="530" spans="1:33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</row>
    <row r="531" spans="1:33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</row>
    <row r="532" spans="1:33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</row>
    <row r="533" spans="1:33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</row>
    <row r="534" spans="1:33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</row>
    <row r="535" spans="1:33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</row>
    <row r="536" spans="1:33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</row>
    <row r="537" spans="1:33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</row>
    <row r="538" spans="1:33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</row>
    <row r="539" spans="1:33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</row>
    <row r="540" spans="1:33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</row>
    <row r="541" spans="1:33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</row>
    <row r="542" spans="1:33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</row>
    <row r="543" spans="1:33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</row>
    <row r="544" spans="1:33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</row>
    <row r="545" spans="1:33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</row>
    <row r="546" spans="1:33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</row>
    <row r="547" spans="1:33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</row>
    <row r="548" spans="1:33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</row>
    <row r="549" spans="1:33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</row>
    <row r="550" spans="1:33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</row>
    <row r="551" spans="1:33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</row>
    <row r="552" spans="1:33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</row>
    <row r="553" spans="1:33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</row>
    <row r="554" spans="1:33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</row>
    <row r="555" spans="1:33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</row>
    <row r="556" spans="1:33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</row>
    <row r="557" spans="1:33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</row>
    <row r="558" spans="1:33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</row>
    <row r="559" spans="1:33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</row>
    <row r="560" spans="1:33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</row>
    <row r="561" spans="1:33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</row>
    <row r="562" spans="1:33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</row>
    <row r="563" spans="1:33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</row>
    <row r="564" spans="1:33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</row>
    <row r="565" spans="1:33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</row>
    <row r="566" spans="1:33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</row>
    <row r="567" spans="1:33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</row>
    <row r="568" spans="1:33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</row>
    <row r="569" spans="1:33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</row>
    <row r="570" spans="1:33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</row>
    <row r="571" spans="1:33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</row>
    <row r="572" spans="1:33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</row>
    <row r="573" spans="1:33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</row>
    <row r="574" spans="1:33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</row>
    <row r="575" spans="1:33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</row>
    <row r="576" spans="1:33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</row>
    <row r="577" spans="1:33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</row>
    <row r="578" spans="1:33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</row>
    <row r="579" spans="1:33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</row>
    <row r="580" spans="1:33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</row>
    <row r="581" spans="1:33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</row>
    <row r="582" spans="1:33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</row>
    <row r="583" spans="1:33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</row>
    <row r="584" spans="1:33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</row>
    <row r="585" spans="1:33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</row>
    <row r="586" spans="1:33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</row>
    <row r="587" spans="1:33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</row>
    <row r="588" spans="1:33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</row>
    <row r="589" spans="1:33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</row>
    <row r="590" spans="1:33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</row>
    <row r="591" spans="1:33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</row>
    <row r="592" spans="1:33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</row>
    <row r="593" spans="1:33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</row>
    <row r="594" spans="1:33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</row>
    <row r="595" spans="1:33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</row>
    <row r="596" spans="1:33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</row>
    <row r="597" spans="1:33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</row>
    <row r="598" spans="1:33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</row>
    <row r="599" spans="1:33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</row>
    <row r="600" spans="1:33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</row>
    <row r="601" spans="1:33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</row>
    <row r="602" spans="1:33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</row>
    <row r="603" spans="1:33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</row>
    <row r="604" spans="1:33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</row>
    <row r="605" spans="1:33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</row>
    <row r="606" spans="1:33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</row>
    <row r="607" spans="1:33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</row>
    <row r="608" spans="1:33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</row>
    <row r="609" spans="1:33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</row>
    <row r="610" spans="1:33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</row>
    <row r="611" spans="1:33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</row>
    <row r="612" spans="1:33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</row>
    <row r="613" spans="1:33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</row>
    <row r="614" spans="1:33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</row>
    <row r="615" spans="1:33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</row>
    <row r="616" spans="1:33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</row>
    <row r="617" spans="1:33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</row>
    <row r="618" spans="1:33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</row>
    <row r="619" spans="1:33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</row>
    <row r="620" spans="1:33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</row>
    <row r="621" spans="1:33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</row>
    <row r="622" spans="1:33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</row>
    <row r="623" spans="1:33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</row>
    <row r="624" spans="1:33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</row>
    <row r="625" spans="1:33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</row>
    <row r="626" spans="1:33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</row>
    <row r="627" spans="1:33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</row>
    <row r="628" spans="1:33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</row>
    <row r="629" spans="1:33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</row>
    <row r="630" spans="1:33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</row>
    <row r="631" spans="1:33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</row>
    <row r="632" spans="1:33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</row>
    <row r="633" spans="1:33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</row>
    <row r="634" spans="1:33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</row>
    <row r="635" spans="1:33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</row>
    <row r="636" spans="1:33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</row>
    <row r="637" spans="1:33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</row>
    <row r="638" spans="1:33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</row>
    <row r="639" spans="1:33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</row>
    <row r="640" spans="1:33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</row>
    <row r="641" spans="1:33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</row>
    <row r="642" spans="1:33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</row>
    <row r="643" spans="1:33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</row>
    <row r="644" spans="1:33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</row>
    <row r="645" spans="1:33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</row>
    <row r="646" spans="1:33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</row>
    <row r="647" spans="1:33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</row>
    <row r="648" spans="1:33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</row>
    <row r="649" spans="1:33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</row>
    <row r="650" spans="1:33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</row>
    <row r="651" spans="1:33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</row>
    <row r="652" spans="1:33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</row>
    <row r="653" spans="1:33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</row>
    <row r="654" spans="1:33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</row>
    <row r="655" spans="1:33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</row>
    <row r="656" spans="1:33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</row>
    <row r="657" spans="1:33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</row>
    <row r="658" spans="1:33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</row>
    <row r="659" spans="1:33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</row>
    <row r="660" spans="1:33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</row>
    <row r="661" spans="1:33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</row>
    <row r="662" spans="1:33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</row>
    <row r="663" spans="1:33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</row>
    <row r="664" spans="1:33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</row>
    <row r="665" spans="1:33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</row>
    <row r="666" spans="1:33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</row>
    <row r="667" spans="1:33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</row>
    <row r="668" spans="1:33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</row>
    <row r="669" spans="1:33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</row>
    <row r="670" spans="1:33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</row>
    <row r="671" spans="1:33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</row>
    <row r="672" spans="1:33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</row>
    <row r="673" spans="1:33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</row>
    <row r="674" spans="1:33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</row>
    <row r="675" spans="1:33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</row>
    <row r="676" spans="1:33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</row>
    <row r="677" spans="1:33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</row>
    <row r="678" spans="1:33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</row>
    <row r="679" spans="1:33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</row>
    <row r="680" spans="1:33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</row>
    <row r="681" spans="1:33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</row>
    <row r="682" spans="1:33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</row>
    <row r="683" spans="1:33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</row>
    <row r="684" spans="1:33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</row>
    <row r="685" spans="1:33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</row>
    <row r="686" spans="1:33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</row>
    <row r="687" spans="1:33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</row>
    <row r="688" spans="1:33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</row>
    <row r="689" spans="1:33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</row>
    <row r="690" spans="1:33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</row>
    <row r="691" spans="1:33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</row>
    <row r="692" spans="1:33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</row>
    <row r="693" spans="1:33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</row>
    <row r="694" spans="1:33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</row>
    <row r="695" spans="1:33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</row>
    <row r="696" spans="1:33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</row>
    <row r="697" spans="1:33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</row>
    <row r="698" spans="1:33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</row>
    <row r="699" spans="1:33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</row>
    <row r="700" spans="1:33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</row>
    <row r="701" spans="1:33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</row>
    <row r="702" spans="1:33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</row>
    <row r="703" spans="1:33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</row>
    <row r="704" spans="1:33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</row>
    <row r="705" spans="1:33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</row>
    <row r="706" spans="1:33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</row>
    <row r="707" spans="1:33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</row>
    <row r="708" spans="1:33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</row>
    <row r="709" spans="1:33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</row>
    <row r="710" spans="1:33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</row>
    <row r="711" spans="1:33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</row>
    <row r="712" spans="1:33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</row>
    <row r="713" spans="1:33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</row>
    <row r="714" spans="1:33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</row>
    <row r="715" spans="1:33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</row>
    <row r="716" spans="1:33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</row>
    <row r="717" spans="1:33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</row>
    <row r="718" spans="1:33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</row>
    <row r="719" spans="1:33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</row>
    <row r="720" spans="1:33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</row>
    <row r="721" spans="1:33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</row>
    <row r="722" spans="1:33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</row>
    <row r="723" spans="1:33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</row>
    <row r="724" spans="1:33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</row>
    <row r="725" spans="1:33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</row>
    <row r="726" spans="1:33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</row>
    <row r="727" spans="1:33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</row>
    <row r="728" spans="1:33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</row>
    <row r="729" spans="1:33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</row>
    <row r="730" spans="1:33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</row>
    <row r="731" spans="1:33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</row>
    <row r="732" spans="1:33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</row>
    <row r="733" spans="1:33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</row>
    <row r="734" spans="1:33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</row>
    <row r="735" spans="1:33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</row>
    <row r="736" spans="1:33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</row>
    <row r="737" spans="1:33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</row>
    <row r="738" spans="1:33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</row>
    <row r="739" spans="1:33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</row>
    <row r="740" spans="1:33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</row>
    <row r="741" spans="1:33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</row>
    <row r="742" spans="1:33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</row>
    <row r="743" spans="1:33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</row>
    <row r="744" spans="1:33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</row>
    <row r="745" spans="1:33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</row>
    <row r="746" spans="1:33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</row>
    <row r="747" spans="1:33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</row>
    <row r="748" spans="1:33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</row>
    <row r="749" spans="1:33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</row>
    <row r="750" spans="1:33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</row>
    <row r="751" spans="1:33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</row>
    <row r="752" spans="1:33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</row>
    <row r="753" spans="1:33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</row>
    <row r="754" spans="1:33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</row>
    <row r="755" spans="1:33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</row>
    <row r="756" spans="1:33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</row>
    <row r="757" spans="1:33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</row>
    <row r="758" spans="1:33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</row>
    <row r="759" spans="1:33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</row>
    <row r="760" spans="1:33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</row>
    <row r="761" spans="1:33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</row>
    <row r="762" spans="1:33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</row>
    <row r="763" spans="1:33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</row>
    <row r="764" spans="1:33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</row>
    <row r="765" spans="1:33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</row>
    <row r="766" spans="1:33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</row>
    <row r="767" spans="1:33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</row>
    <row r="768" spans="1:33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</row>
    <row r="769" spans="1:33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</row>
    <row r="770" spans="1:33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</row>
    <row r="771" spans="1:33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</row>
    <row r="772" spans="1:33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</row>
    <row r="773" spans="1:33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</row>
    <row r="774" spans="1:33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</row>
    <row r="775" spans="1:33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</row>
    <row r="776" spans="1:33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</row>
    <row r="777" spans="1:33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</row>
    <row r="778" spans="1:33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</row>
    <row r="779" spans="1:33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</row>
    <row r="780" spans="1:33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</row>
    <row r="781" spans="1:33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</row>
    <row r="782" spans="1:33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</row>
    <row r="783" spans="1:33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</row>
    <row r="784" spans="1:33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</row>
    <row r="785" spans="1:33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</row>
    <row r="786" spans="1:33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</row>
    <row r="787" spans="1:33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</row>
    <row r="788" spans="1:33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</row>
    <row r="789" spans="1:33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</row>
    <row r="790" spans="1:33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</row>
    <row r="791" spans="1:33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</row>
    <row r="792" spans="1:33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</row>
    <row r="793" spans="1:33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</row>
    <row r="794" spans="1:33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</row>
    <row r="795" spans="1:33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</row>
    <row r="796" spans="1:33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</row>
    <row r="797" spans="1:33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</row>
    <row r="798" spans="1:33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</row>
    <row r="799" spans="1:33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</row>
    <row r="800" spans="1:33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</row>
    <row r="801" spans="1:33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</row>
    <row r="802" spans="1:33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</row>
    <row r="803" spans="1:33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</row>
    <row r="804" spans="1:33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</row>
    <row r="805" spans="1:33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</row>
    <row r="806" spans="1:33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</row>
    <row r="807" spans="1:33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</row>
    <row r="808" spans="1:33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</row>
    <row r="809" spans="1:33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</row>
    <row r="810" spans="1:33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</row>
    <row r="811" spans="1:33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</row>
    <row r="812" spans="1:33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</row>
    <row r="813" spans="1:33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</row>
    <row r="814" spans="1:33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</row>
    <row r="815" spans="1:33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</row>
    <row r="816" spans="1:33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</row>
    <row r="817" spans="1:33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</row>
    <row r="818" spans="1:33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</row>
    <row r="819" spans="1:33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</row>
    <row r="820" spans="1:33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</row>
    <row r="821" spans="1:33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</row>
    <row r="822" spans="1:33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</row>
    <row r="823" spans="1:33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</row>
    <row r="824" spans="1:33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</row>
    <row r="825" spans="1:33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</row>
    <row r="826" spans="1:33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</row>
    <row r="827" spans="1:33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</row>
    <row r="828" spans="1:33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</row>
    <row r="829" spans="1:33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</row>
    <row r="830" spans="1:33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</row>
    <row r="831" spans="1:33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</row>
    <row r="832" spans="1:33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</row>
    <row r="833" spans="1:33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</row>
    <row r="834" spans="1:33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</row>
    <row r="835" spans="1:33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</row>
    <row r="836" spans="1:33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</row>
    <row r="837" spans="1:33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</row>
    <row r="838" spans="1:33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</row>
    <row r="839" spans="1:33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</row>
    <row r="840" spans="1:33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</row>
    <row r="841" spans="1:33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</row>
    <row r="842" spans="1:33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</row>
    <row r="843" spans="1:33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</row>
    <row r="844" spans="1:33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</row>
    <row r="845" spans="1:33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</row>
    <row r="846" spans="1:33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</row>
    <row r="847" spans="1:33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</row>
    <row r="848" spans="1:33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</row>
    <row r="849" spans="1:33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</row>
    <row r="850" spans="1:33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</row>
    <row r="851" spans="1:33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</row>
    <row r="852" spans="1:33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</row>
    <row r="853" spans="1:33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</row>
    <row r="854" spans="1:33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</row>
    <row r="855" spans="1:33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</row>
    <row r="856" spans="1:33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</row>
    <row r="857" spans="1:33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</row>
    <row r="858" spans="1:33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</row>
    <row r="859" spans="1:33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</row>
    <row r="860" spans="1:33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</row>
    <row r="861" spans="1:33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</row>
    <row r="862" spans="1:33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</row>
    <row r="863" spans="1:33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</row>
    <row r="864" spans="1:33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</row>
    <row r="865" spans="1:33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</row>
    <row r="866" spans="1:33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</row>
    <row r="867" spans="1:33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</row>
    <row r="868" spans="1:33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</row>
    <row r="869" spans="1:33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</row>
    <row r="870" spans="1:33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</row>
    <row r="871" spans="1:33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</row>
    <row r="872" spans="1:33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</row>
    <row r="873" spans="1:33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</row>
    <row r="874" spans="1:33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</row>
    <row r="875" spans="1:33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</row>
    <row r="876" spans="1:33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</row>
    <row r="877" spans="1:33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</row>
    <row r="878" spans="1:33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</row>
    <row r="879" spans="1:33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</row>
    <row r="880" spans="1:33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</row>
    <row r="881" spans="1:33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</row>
    <row r="882" spans="1:33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</row>
    <row r="883" spans="1:33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</row>
    <row r="884" spans="1:33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</row>
    <row r="885" spans="1:33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</row>
    <row r="886" spans="1:33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</row>
    <row r="887" spans="1:33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</row>
    <row r="888" spans="1:33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</row>
    <row r="889" spans="1:33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</row>
    <row r="890" spans="1:33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</row>
    <row r="891" spans="1:33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</row>
    <row r="892" spans="1:33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</row>
    <row r="893" spans="1:33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</row>
    <row r="894" spans="1:33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</row>
    <row r="895" spans="1:33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</row>
    <row r="896" spans="1:33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</row>
    <row r="897" spans="1:33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</row>
    <row r="898" spans="1:33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</row>
    <row r="899" spans="1:33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</row>
    <row r="900" spans="1:33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</row>
    <row r="901" spans="1:33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</row>
    <row r="902" spans="1:33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</row>
    <row r="903" spans="1:33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</row>
    <row r="904" spans="1:33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</row>
    <row r="905" spans="1:33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</row>
    <row r="906" spans="1:33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</row>
    <row r="907" spans="1:33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</row>
    <row r="908" spans="1:33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4">
          <controlPr defaultSize="0" autoLine="0" r:id="rId4">
            <anchor moveWithCells="1">
              <from>
                <xdr:col>3</xdr:col>
                <xdr:colOff>144780</xdr:colOff>
                <xdr:row>30</xdr:row>
                <xdr:rowOff>7620</xdr:rowOff>
              </from>
              <to>
                <xdr:col>6</xdr:col>
                <xdr:colOff>160020</xdr:colOff>
                <xdr:row>33</xdr:row>
                <xdr:rowOff>83820</xdr:rowOff>
              </to>
            </anchor>
          </controlPr>
        </control>
      </mc:Choice>
      <mc:Fallback>
        <control shapeId="2053" r:id="rId3" name="CommandButton4"/>
      </mc:Fallback>
    </mc:AlternateContent>
    <mc:AlternateContent xmlns:mc="http://schemas.openxmlformats.org/markup-compatibility/2006">
      <mc:Choice Requires="x14">
        <control shapeId="2051" r:id="rId5" name="CommandButton3">
          <controlPr defaultSize="0" autoLine="0" r:id="rId6">
            <anchor moveWithCells="1">
              <from>
                <xdr:col>3</xdr:col>
                <xdr:colOff>175260</xdr:colOff>
                <xdr:row>23</xdr:row>
                <xdr:rowOff>83820</xdr:rowOff>
              </from>
              <to>
                <xdr:col>6</xdr:col>
                <xdr:colOff>190500</xdr:colOff>
                <xdr:row>26</xdr:row>
                <xdr:rowOff>167640</xdr:rowOff>
              </to>
            </anchor>
          </controlPr>
        </control>
      </mc:Choice>
      <mc:Fallback>
        <control shapeId="2051" r:id="rId5" name="CommandButton3"/>
      </mc:Fallback>
    </mc:AlternateContent>
    <mc:AlternateContent xmlns:mc="http://schemas.openxmlformats.org/markup-compatibility/2006">
      <mc:Choice Requires="x14">
        <control shapeId="2049" r:id="rId7" name="CommandButton1">
          <controlPr defaultSize="0" autoLine="0" r:id="rId8">
            <anchor moveWithCells="1">
              <from>
                <xdr:col>3</xdr:col>
                <xdr:colOff>205740</xdr:colOff>
                <xdr:row>11</xdr:row>
                <xdr:rowOff>45720</xdr:rowOff>
              </from>
              <to>
                <xdr:col>6</xdr:col>
                <xdr:colOff>198120</xdr:colOff>
                <xdr:row>14</xdr:row>
                <xdr:rowOff>175260</xdr:rowOff>
              </to>
            </anchor>
          </controlPr>
        </control>
      </mc:Choice>
      <mc:Fallback>
        <control shapeId="2049" r:id="rId7" name="CommandButton1"/>
      </mc:Fallback>
    </mc:AlternateContent>
    <mc:AlternateContent xmlns:mc="http://schemas.openxmlformats.org/markup-compatibility/2006">
      <mc:Choice Requires="x14">
        <control shapeId="2050" r:id="rId9" name="CommandButton2">
          <controlPr defaultSize="0" autoLine="0" r:id="rId10">
            <anchor moveWithCells="1">
              <from>
                <xdr:col>3</xdr:col>
                <xdr:colOff>182880</xdr:colOff>
                <xdr:row>17</xdr:row>
                <xdr:rowOff>91440</xdr:rowOff>
              </from>
              <to>
                <xdr:col>6</xdr:col>
                <xdr:colOff>190500</xdr:colOff>
                <xdr:row>20</xdr:row>
                <xdr:rowOff>129540</xdr:rowOff>
              </to>
            </anchor>
          </controlPr>
        </control>
      </mc:Choice>
      <mc:Fallback>
        <control shapeId="2050" r:id="rId9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69673-D731-4CBD-9624-FB1B8DDC4A6F}">
  <sheetPr codeName="Sayfa2"/>
  <dimension ref="A1:DE263"/>
  <sheetViews>
    <sheetView tabSelected="1" zoomScale="97" zoomScaleNormal="97" workbookViewId="0">
      <selection activeCell="D10" sqref="D10"/>
    </sheetView>
  </sheetViews>
  <sheetFormatPr defaultRowHeight="14.4" x14ac:dyDescent="0.3"/>
  <cols>
    <col min="1" max="2" width="27.5546875" style="5" customWidth="1"/>
    <col min="3" max="3" width="23.77734375" style="5" customWidth="1"/>
    <col min="4" max="4" width="23.5546875" style="6" customWidth="1"/>
    <col min="5" max="5" width="23.5546875" style="5" customWidth="1"/>
    <col min="6" max="6" width="23.77734375" style="5" customWidth="1"/>
    <col min="7" max="7" width="25.5546875" style="5" customWidth="1"/>
    <col min="8" max="8" width="24.5546875" style="7" customWidth="1"/>
    <col min="9" max="9" width="26" style="6" customWidth="1"/>
    <col min="10" max="10" width="27.33203125" style="5" customWidth="1"/>
    <col min="11" max="11" width="31.109375" style="5" customWidth="1"/>
    <col min="12" max="12" width="31.77734375" style="5" customWidth="1"/>
    <col min="13" max="13" width="21.33203125" customWidth="1"/>
  </cols>
  <sheetData>
    <row r="1" spans="1:108" ht="42" customHeight="1" x14ac:dyDescent="0.3">
      <c r="A1" s="2" t="s">
        <v>35</v>
      </c>
      <c r="B1" s="2" t="s">
        <v>68</v>
      </c>
      <c r="C1" s="2" t="s">
        <v>43</v>
      </c>
      <c r="D1" s="3" t="s">
        <v>36</v>
      </c>
      <c r="E1" s="2" t="s">
        <v>37</v>
      </c>
      <c r="F1" s="2" t="s">
        <v>38</v>
      </c>
      <c r="G1" s="2" t="s">
        <v>39</v>
      </c>
      <c r="H1" s="4" t="s">
        <v>40</v>
      </c>
      <c r="I1" s="3" t="s">
        <v>41</v>
      </c>
      <c r="J1" s="2" t="s">
        <v>42</v>
      </c>
      <c r="K1" s="2" t="s">
        <v>69</v>
      </c>
      <c r="L1" s="2" t="s">
        <v>75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</row>
    <row r="2" spans="1:108" x14ac:dyDescent="0.3">
      <c r="A2" s="2">
        <v>46036525145</v>
      </c>
      <c r="B2" s="2" t="s">
        <v>79</v>
      </c>
      <c r="C2" s="2" t="s">
        <v>0</v>
      </c>
      <c r="D2" s="3">
        <v>41255</v>
      </c>
      <c r="E2" s="2">
        <v>5377148956</v>
      </c>
      <c r="F2" s="2" t="s">
        <v>1</v>
      </c>
      <c r="G2" s="2" t="s">
        <v>2</v>
      </c>
      <c r="H2" s="4">
        <v>120000</v>
      </c>
      <c r="I2" s="3">
        <f ca="1">TODAY()</f>
        <v>45457</v>
      </c>
      <c r="J2" s="2">
        <f ca="1">YEAR(Tablo1[[#This Row],[Sütun8]])-YEAR(Tablo1[[#This Row],[Sütun3]])</f>
        <v>12</v>
      </c>
      <c r="K2" s="2" t="str">
        <f ca="1">IF(Tablo1[[#This Row],[Sütun9]]&lt;=5,"14",IF(Tablo1[[#This Row],[Sütun9]]&lt;=10,"20",IF(Tablo1[[#This Row],[Sütun9]]&lt;=15,"26","")))</f>
        <v>26</v>
      </c>
      <c r="L2" s="2">
        <f>SUMIF(Tablo4[İsim Soyisim],personelBilgi!B:B,Tablo4[Toplam İzin Günü Sayısı])</f>
        <v>0</v>
      </c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</row>
    <row r="3" spans="1:108" x14ac:dyDescent="0.3">
      <c r="A3" s="2">
        <v>15212634852</v>
      </c>
      <c r="B3" s="2" t="s">
        <v>5</v>
      </c>
      <c r="C3" s="2" t="s">
        <v>0</v>
      </c>
      <c r="D3" s="3">
        <v>41579</v>
      </c>
      <c r="E3" s="2">
        <v>5312487512</v>
      </c>
      <c r="F3" s="2" t="s">
        <v>1</v>
      </c>
      <c r="G3" s="2" t="s">
        <v>3</v>
      </c>
      <c r="H3" s="4">
        <v>100000</v>
      </c>
      <c r="I3" s="3">
        <f ca="1">TODAY()</f>
        <v>45457</v>
      </c>
      <c r="J3" s="2">
        <f ca="1">YEAR(Tablo1[[#This Row],[Sütun8]])-YEAR(Tablo1[[#This Row],[Sütun3]])</f>
        <v>11</v>
      </c>
      <c r="K3" s="2" t="str">
        <f ca="1">IF(Tablo1[[#This Row],[Sütun9]]&lt;=5,"14",IF(Tablo1[[#This Row],[Sütun9]]&lt;=10,"20",IF(Tablo1[[#This Row],[Sütun9]]&lt;=15,"26","")))</f>
        <v>26</v>
      </c>
      <c r="L3" s="2">
        <f>SUMIF(Tablo4[İsim Soyisim],personelBilgi!B:B,Tablo4[Toplam İzin Günü Sayısı])</f>
        <v>6</v>
      </c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</row>
    <row r="4" spans="1:108" x14ac:dyDescent="0.3">
      <c r="A4" s="2">
        <v>12564832541</v>
      </c>
      <c r="B4" s="2" t="s">
        <v>80</v>
      </c>
      <c r="C4" s="2" t="s">
        <v>0</v>
      </c>
      <c r="D4" s="3" t="s">
        <v>76</v>
      </c>
      <c r="E4" s="2">
        <v>5124586525</v>
      </c>
      <c r="F4" s="2" t="s">
        <v>1</v>
      </c>
      <c r="G4" s="2" t="s">
        <v>2</v>
      </c>
      <c r="H4" s="4">
        <v>110000</v>
      </c>
      <c r="I4" s="3">
        <f ca="1">TODAY()</f>
        <v>45457</v>
      </c>
      <c r="J4" s="2">
        <f ca="1">YEAR(Tablo1[[#This Row],[Sütun8]])-YEAR(Tablo1[[#This Row],[Sütun3]])</f>
        <v>14</v>
      </c>
      <c r="K4" s="2" t="str">
        <f ca="1">IF(Tablo1[[#This Row],[Sütun9]]&lt;=5,"14",IF(Tablo1[[#This Row],[Sütun9]]&lt;=10,"20",IF(Tablo1[[#This Row],[Sütun9]]&lt;=15,"26","")))</f>
        <v>26</v>
      </c>
      <c r="L4" s="2">
        <f>SUMIF(Tablo4[İsim Soyisim],personelBilgi!B:B,Tablo4[Toplam İzin Günü Sayısı])</f>
        <v>0</v>
      </c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</row>
    <row r="5" spans="1:108" x14ac:dyDescent="0.3">
      <c r="A5" s="2"/>
      <c r="B5" s="2"/>
      <c r="C5" s="2"/>
      <c r="D5" s="3"/>
      <c r="E5" s="2"/>
      <c r="F5" s="2"/>
      <c r="G5" s="2"/>
      <c r="H5" s="4"/>
      <c r="I5" s="3"/>
      <c r="J5" s="2"/>
      <c r="K5" s="2"/>
      <c r="L5" s="2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</row>
    <row r="6" spans="1:108" x14ac:dyDescent="0.3">
      <c r="A6" s="2"/>
      <c r="B6" s="2"/>
      <c r="C6" s="2"/>
      <c r="D6" s="3"/>
      <c r="E6" s="2"/>
      <c r="F6" s="2"/>
      <c r="G6" s="2"/>
      <c r="H6" s="4"/>
      <c r="I6" s="3"/>
      <c r="J6" s="2"/>
      <c r="K6" s="2"/>
      <c r="L6" s="2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</row>
    <row r="7" spans="1:108" x14ac:dyDescent="0.3">
      <c r="A7" s="2"/>
      <c r="B7" s="2"/>
      <c r="C7" s="2"/>
      <c r="D7" s="3"/>
      <c r="E7" s="2"/>
      <c r="F7" s="2"/>
      <c r="G7" s="2"/>
      <c r="H7" s="4"/>
      <c r="I7" s="3"/>
      <c r="J7" s="2"/>
      <c r="K7" s="2"/>
      <c r="L7" s="2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</row>
    <row r="8" spans="1:108" x14ac:dyDescent="0.3">
      <c r="A8" s="2"/>
      <c r="B8" s="2"/>
      <c r="C8" s="2"/>
      <c r="D8" s="3"/>
      <c r="E8" s="2"/>
      <c r="F8" s="2"/>
      <c r="G8" s="2"/>
      <c r="H8" s="4"/>
      <c r="I8" s="3"/>
      <c r="J8" s="2"/>
      <c r="K8" s="2"/>
      <c r="L8" s="2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</row>
    <row r="9" spans="1:108" x14ac:dyDescent="0.3">
      <c r="A9" s="2"/>
      <c r="B9" s="2"/>
      <c r="C9" s="2"/>
      <c r="D9" s="3"/>
      <c r="E9" s="2"/>
      <c r="F9" s="2"/>
      <c r="G9" s="2"/>
      <c r="H9" s="4"/>
      <c r="I9" s="3"/>
      <c r="J9" s="2"/>
      <c r="K9" s="2"/>
      <c r="L9" s="2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</row>
    <row r="10" spans="1:108" x14ac:dyDescent="0.3">
      <c r="A10" s="2"/>
      <c r="B10" s="2"/>
      <c r="C10" s="2"/>
      <c r="D10" s="3"/>
      <c r="E10" s="2"/>
      <c r="F10" s="2"/>
      <c r="G10" s="2"/>
      <c r="H10" s="4"/>
      <c r="I10" s="3"/>
      <c r="J10" s="2"/>
      <c r="K10" s="2"/>
      <c r="L10" s="2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</row>
    <row r="11" spans="1:108" x14ac:dyDescent="0.3">
      <c r="A11" s="2"/>
      <c r="B11" s="2"/>
      <c r="C11" s="2"/>
      <c r="D11" s="3"/>
      <c r="E11" s="2"/>
      <c r="F11" s="2"/>
      <c r="G11" s="2"/>
      <c r="H11" s="4"/>
      <c r="I11" s="3"/>
      <c r="J11" s="2"/>
      <c r="K11" s="2"/>
      <c r="L11" s="2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</row>
    <row r="12" spans="1:108" x14ac:dyDescent="0.3">
      <c r="A12" s="2"/>
      <c r="B12" s="2"/>
      <c r="C12" s="2"/>
      <c r="D12" s="3"/>
      <c r="E12" s="2"/>
      <c r="F12" s="2"/>
      <c r="G12" s="2"/>
      <c r="H12" s="4"/>
      <c r="I12" s="3"/>
      <c r="J12" s="2"/>
      <c r="K12" s="2"/>
      <c r="L12" s="2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</row>
    <row r="13" spans="1:108" x14ac:dyDescent="0.3">
      <c r="A13" s="2"/>
      <c r="B13" s="2"/>
      <c r="C13" s="2"/>
      <c r="D13" s="3"/>
      <c r="E13" s="2"/>
      <c r="F13" s="2"/>
      <c r="G13" s="2"/>
      <c r="H13" s="4"/>
      <c r="I13" s="3"/>
      <c r="J13" s="2"/>
      <c r="K13" s="2"/>
      <c r="L13" s="2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</row>
    <row r="14" spans="1:108" x14ac:dyDescent="0.3">
      <c r="A14" s="2"/>
      <c r="B14" s="2"/>
      <c r="C14" s="2"/>
      <c r="D14" s="3"/>
      <c r="E14" s="2"/>
      <c r="F14" s="2"/>
      <c r="G14" s="2"/>
      <c r="H14" s="4"/>
      <c r="I14" s="3"/>
      <c r="J14" s="2"/>
      <c r="K14" s="2"/>
      <c r="L14" s="2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</row>
    <row r="15" spans="1:108" x14ac:dyDescent="0.3">
      <c r="A15" s="2"/>
      <c r="B15" s="2"/>
      <c r="C15" s="2"/>
      <c r="D15" s="3"/>
      <c r="E15" s="2"/>
      <c r="F15" s="2"/>
      <c r="G15" s="2"/>
      <c r="H15" s="4"/>
      <c r="I15" s="3"/>
      <c r="J15" s="2"/>
      <c r="K15" s="2"/>
      <c r="L15" s="2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</row>
    <row r="16" spans="1:108" x14ac:dyDescent="0.3">
      <c r="A16" s="2"/>
      <c r="B16" s="2"/>
      <c r="C16" s="2"/>
      <c r="D16" s="3"/>
      <c r="E16" s="2"/>
      <c r="F16" s="2"/>
      <c r="G16" s="2"/>
      <c r="H16" s="4"/>
      <c r="I16" s="3"/>
      <c r="J16" s="2"/>
      <c r="K16" s="2"/>
      <c r="L16" s="2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</row>
    <row r="17" spans="1:109" x14ac:dyDescent="0.3">
      <c r="A17" s="2"/>
      <c r="B17" s="2"/>
      <c r="C17" s="2"/>
      <c r="D17" s="3"/>
      <c r="E17" s="2"/>
      <c r="F17" s="2"/>
      <c r="G17" s="2"/>
      <c r="H17" s="4"/>
      <c r="I17" s="3"/>
      <c r="J17" s="2"/>
      <c r="K17" s="2"/>
      <c r="L17" s="2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</row>
    <row r="18" spans="1:109" x14ac:dyDescent="0.3">
      <c r="A18" s="2"/>
      <c r="B18" s="2"/>
      <c r="C18" s="2"/>
      <c r="D18" s="3"/>
      <c r="E18" s="2"/>
      <c r="F18" s="2"/>
      <c r="G18" s="2"/>
      <c r="H18" s="4"/>
      <c r="I18" s="3"/>
      <c r="J18" s="2"/>
      <c r="K18" s="2"/>
      <c r="L18" s="2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</row>
    <row r="19" spans="1:109" x14ac:dyDescent="0.3">
      <c r="A19" s="2"/>
      <c r="B19" s="2"/>
      <c r="C19" s="2"/>
      <c r="D19" s="3"/>
      <c r="E19" s="2"/>
      <c r="F19" s="2"/>
      <c r="G19" s="2"/>
      <c r="H19" s="4"/>
      <c r="I19" s="3"/>
      <c r="J19" s="2"/>
      <c r="K19" s="2"/>
      <c r="L19" s="2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</row>
    <row r="20" spans="1:109" x14ac:dyDescent="0.3">
      <c r="A20" s="2"/>
      <c r="B20" s="2"/>
      <c r="C20" s="2"/>
      <c r="D20" s="3"/>
      <c r="E20" s="2"/>
      <c r="F20" s="2"/>
      <c r="G20" s="2"/>
      <c r="H20" s="4"/>
      <c r="I20" s="3"/>
      <c r="J20" s="2"/>
      <c r="K20" s="2"/>
      <c r="L20" s="2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</row>
    <row r="21" spans="1:109" x14ac:dyDescent="0.3">
      <c r="A21" s="2"/>
      <c r="B21" s="2"/>
      <c r="C21" s="2"/>
      <c r="D21" s="3"/>
      <c r="E21" s="2"/>
      <c r="F21" s="2"/>
      <c r="G21" s="2"/>
      <c r="H21" s="4"/>
      <c r="I21" s="3"/>
      <c r="J21" s="2"/>
      <c r="K21" s="2"/>
      <c r="L21" s="2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</row>
    <row r="22" spans="1:109" x14ac:dyDescent="0.3">
      <c r="A22" s="2"/>
      <c r="B22" s="2"/>
      <c r="C22" s="2"/>
      <c r="D22" s="3"/>
      <c r="E22" s="2"/>
      <c r="F22" s="2"/>
      <c r="G22" s="2"/>
      <c r="H22" s="4"/>
      <c r="I22" s="3"/>
      <c r="J22" s="2"/>
      <c r="K22" s="2"/>
      <c r="L22" s="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</row>
    <row r="23" spans="1:109" x14ac:dyDescent="0.3">
      <c r="A23" s="2"/>
      <c r="B23" s="2"/>
      <c r="C23" s="2"/>
      <c r="D23" s="3"/>
      <c r="E23" s="2"/>
      <c r="F23" s="2"/>
      <c r="G23" s="2"/>
      <c r="H23" s="4"/>
      <c r="I23" s="3"/>
      <c r="J23" s="2"/>
      <c r="K23" s="2"/>
      <c r="L23" s="2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</row>
    <row r="24" spans="1:109" x14ac:dyDescent="0.3">
      <c r="A24" s="2"/>
      <c r="B24" s="2"/>
      <c r="C24" s="2"/>
      <c r="D24" s="3"/>
      <c r="E24" s="2"/>
      <c r="F24" s="2"/>
      <c r="G24" s="2"/>
      <c r="H24" s="4"/>
      <c r="I24" s="3"/>
      <c r="J24" s="2"/>
      <c r="K24" s="2"/>
      <c r="L24" s="2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</row>
    <row r="25" spans="1:109" x14ac:dyDescent="0.3">
      <c r="A25" s="2"/>
      <c r="B25" s="2"/>
      <c r="C25" s="2"/>
      <c r="D25" s="3"/>
      <c r="E25" s="2"/>
      <c r="F25" s="2"/>
      <c r="G25" s="2"/>
      <c r="H25" s="4"/>
      <c r="I25" s="3"/>
      <c r="J25" s="2"/>
      <c r="K25" s="2"/>
      <c r="L25" s="2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</row>
    <row r="26" spans="1:109" x14ac:dyDescent="0.3">
      <c r="A26" s="2"/>
      <c r="B26" s="2"/>
      <c r="C26" s="2"/>
      <c r="D26" s="3"/>
      <c r="E26" s="2"/>
      <c r="F26" s="2"/>
      <c r="G26" s="2"/>
      <c r="H26" s="4"/>
      <c r="I26" s="3"/>
      <c r="J26" s="2"/>
      <c r="K26" s="2"/>
      <c r="L26" s="2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</row>
    <row r="27" spans="1:109" x14ac:dyDescent="0.3">
      <c r="A27" s="2"/>
      <c r="B27" s="2"/>
      <c r="C27" s="2"/>
      <c r="D27" s="3"/>
      <c r="E27" s="2"/>
      <c r="F27" s="2"/>
      <c r="G27" s="2"/>
      <c r="H27" s="4"/>
      <c r="I27" s="3"/>
      <c r="J27" s="2"/>
      <c r="K27" s="2"/>
      <c r="L27" s="2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</row>
    <row r="28" spans="1:109" x14ac:dyDescent="0.3">
      <c r="A28" s="2"/>
      <c r="B28" s="2"/>
      <c r="C28" s="2"/>
      <c r="D28" s="3"/>
      <c r="E28" s="2"/>
      <c r="F28" s="2"/>
      <c r="G28" s="2"/>
      <c r="H28" s="4"/>
      <c r="I28" s="3"/>
      <c r="J28" s="2"/>
      <c r="K28" s="2"/>
      <c r="L28" s="2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</row>
    <row r="29" spans="1:109" x14ac:dyDescent="0.3">
      <c r="A29" s="2"/>
      <c r="B29" s="2"/>
      <c r="C29" s="2"/>
      <c r="D29" s="3"/>
      <c r="E29" s="2"/>
      <c r="F29" s="2"/>
      <c r="G29" s="2"/>
      <c r="H29" s="4"/>
      <c r="I29" s="3"/>
      <c r="J29" s="2"/>
      <c r="K29" s="2"/>
      <c r="L29" s="2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</row>
    <row r="30" spans="1:109" x14ac:dyDescent="0.3">
      <c r="A30" s="2"/>
      <c r="B30" s="2"/>
      <c r="C30" s="2"/>
      <c r="D30" s="3"/>
      <c r="E30" s="2"/>
      <c r="F30" s="2"/>
      <c r="G30" s="2"/>
      <c r="H30" s="4"/>
      <c r="I30" s="3"/>
      <c r="J30" s="2"/>
      <c r="K30" s="2"/>
      <c r="L30" s="2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</row>
    <row r="31" spans="1:109" x14ac:dyDescent="0.3">
      <c r="A31" s="2"/>
      <c r="B31" s="2"/>
      <c r="C31" s="2"/>
      <c r="D31" s="3"/>
      <c r="E31" s="2"/>
      <c r="F31" s="2"/>
      <c r="G31" s="2"/>
      <c r="H31" s="4"/>
      <c r="I31" s="3"/>
      <c r="J31" s="2"/>
      <c r="K31" s="2"/>
      <c r="L31" s="2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</row>
    <row r="32" spans="1:109" x14ac:dyDescent="0.3">
      <c r="A32" s="2"/>
      <c r="B32" s="2"/>
      <c r="C32" s="2"/>
      <c r="D32" s="3"/>
      <c r="E32" s="2"/>
      <c r="F32" s="2"/>
      <c r="G32" s="2"/>
      <c r="H32" s="4"/>
      <c r="I32" s="3"/>
      <c r="J32" s="2"/>
      <c r="K32" s="2"/>
      <c r="L32" s="2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</row>
    <row r="33" spans="1:109" x14ac:dyDescent="0.3">
      <c r="A33" s="2"/>
      <c r="B33" s="2"/>
      <c r="C33" s="2"/>
      <c r="D33" s="3"/>
      <c r="E33" s="2"/>
      <c r="F33" s="2"/>
      <c r="G33" s="2"/>
      <c r="H33" s="4"/>
      <c r="I33" s="3"/>
      <c r="J33" s="2"/>
      <c r="K33" s="2"/>
      <c r="L33" s="2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</row>
    <row r="34" spans="1:109" x14ac:dyDescent="0.3">
      <c r="A34" s="2"/>
      <c r="B34" s="2"/>
      <c r="C34" s="2"/>
      <c r="D34" s="3"/>
      <c r="E34" s="2"/>
      <c r="F34" s="2"/>
      <c r="G34" s="2"/>
      <c r="H34" s="4"/>
      <c r="I34" s="3"/>
      <c r="J34" s="2"/>
      <c r="K34" s="2"/>
      <c r="L34" s="2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</row>
    <row r="35" spans="1:109" x14ac:dyDescent="0.3">
      <c r="A35" s="2"/>
      <c r="B35" s="2"/>
      <c r="C35" s="2"/>
      <c r="D35" s="3"/>
      <c r="E35" s="2"/>
      <c r="F35" s="2"/>
      <c r="G35" s="2"/>
      <c r="H35" s="4"/>
      <c r="I35" s="3"/>
      <c r="J35" s="2"/>
      <c r="K35" s="2"/>
      <c r="L35" s="2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</row>
    <row r="36" spans="1:109" x14ac:dyDescent="0.3">
      <c r="A36" s="2"/>
      <c r="B36" s="2"/>
      <c r="C36" s="2"/>
      <c r="D36" s="3"/>
      <c r="E36" s="2"/>
      <c r="F36" s="2"/>
      <c r="G36" s="2"/>
      <c r="H36" s="4"/>
      <c r="I36" s="3"/>
      <c r="J36" s="2"/>
      <c r="K36" s="2"/>
      <c r="L36" s="2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</row>
    <row r="37" spans="1:109" x14ac:dyDescent="0.3">
      <c r="A37" s="2"/>
      <c r="B37" s="2"/>
      <c r="C37" s="2"/>
      <c r="D37" s="3"/>
      <c r="E37" s="2"/>
      <c r="F37" s="2"/>
      <c r="G37" s="2"/>
      <c r="H37" s="4"/>
      <c r="I37" s="3"/>
      <c r="J37" s="2"/>
      <c r="K37" s="2"/>
      <c r="L37" s="2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</row>
    <row r="38" spans="1:109" x14ac:dyDescent="0.3">
      <c r="A38" s="2"/>
      <c r="B38" s="2"/>
      <c r="C38" s="2"/>
      <c r="D38" s="3"/>
      <c r="E38" s="2"/>
      <c r="F38" s="2"/>
      <c r="G38" s="2"/>
      <c r="H38" s="4"/>
      <c r="I38" s="3"/>
      <c r="J38" s="2"/>
      <c r="K38" s="2"/>
      <c r="L38" s="2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</row>
    <row r="39" spans="1:109" x14ac:dyDescent="0.3">
      <c r="A39" s="2"/>
      <c r="B39" s="2"/>
      <c r="C39" s="2"/>
      <c r="D39" s="3"/>
      <c r="E39" s="2"/>
      <c r="F39" s="2"/>
      <c r="G39" s="2"/>
      <c r="H39" s="4"/>
      <c r="I39" s="3"/>
      <c r="J39" s="2"/>
      <c r="K39" s="2"/>
      <c r="L39" s="2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</row>
    <row r="40" spans="1:109" x14ac:dyDescent="0.3">
      <c r="A40" s="2"/>
      <c r="B40" s="2"/>
      <c r="C40" s="2"/>
      <c r="D40" s="3"/>
      <c r="E40" s="2"/>
      <c r="F40" s="2"/>
      <c r="G40" s="2"/>
      <c r="H40" s="4"/>
      <c r="I40" s="3"/>
      <c r="J40" s="2"/>
      <c r="K40" s="2"/>
      <c r="L40" s="2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</row>
    <row r="41" spans="1:109" x14ac:dyDescent="0.3">
      <c r="A41" s="2"/>
      <c r="B41" s="2"/>
      <c r="C41" s="2"/>
      <c r="D41" s="3"/>
      <c r="E41" s="2"/>
      <c r="F41" s="2"/>
      <c r="G41" s="2"/>
      <c r="H41" s="4"/>
      <c r="I41" s="3"/>
      <c r="J41" s="2"/>
      <c r="K41" s="2"/>
      <c r="L41" s="2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</row>
    <row r="42" spans="1:109" x14ac:dyDescent="0.3">
      <c r="A42" s="2"/>
      <c r="B42" s="2"/>
      <c r="C42" s="2"/>
      <c r="D42" s="3"/>
      <c r="E42" s="2"/>
      <c r="F42" s="2"/>
      <c r="G42" s="2"/>
      <c r="H42" s="4"/>
      <c r="I42" s="3"/>
      <c r="J42" s="2"/>
      <c r="K42" s="2"/>
      <c r="L42" s="2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</row>
    <row r="43" spans="1:109" x14ac:dyDescent="0.3">
      <c r="A43" s="2"/>
      <c r="B43" s="2"/>
      <c r="C43" s="2"/>
      <c r="D43" s="3"/>
      <c r="E43" s="2"/>
      <c r="F43" s="2"/>
      <c r="G43" s="2"/>
      <c r="H43" s="4"/>
      <c r="I43" s="3"/>
      <c r="J43" s="2"/>
      <c r="K43" s="2"/>
      <c r="L43" s="2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</row>
    <row r="44" spans="1:109" x14ac:dyDescent="0.3">
      <c r="A44" s="2"/>
      <c r="B44" s="2"/>
      <c r="C44" s="2"/>
      <c r="D44" s="3"/>
      <c r="E44" s="2"/>
      <c r="F44" s="2"/>
      <c r="G44" s="2"/>
      <c r="H44" s="4"/>
      <c r="I44" s="3"/>
      <c r="J44" s="2"/>
      <c r="K44" s="2"/>
      <c r="L44" s="2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</row>
    <row r="45" spans="1:109" x14ac:dyDescent="0.3">
      <c r="A45" s="2"/>
      <c r="B45" s="2"/>
      <c r="C45" s="2"/>
      <c r="D45" s="3"/>
      <c r="E45" s="2"/>
      <c r="F45" s="2"/>
      <c r="G45" s="2"/>
      <c r="H45" s="4"/>
      <c r="I45" s="3"/>
      <c r="J45" s="2"/>
      <c r="K45" s="2"/>
      <c r="L45" s="2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</row>
    <row r="46" spans="1:109" x14ac:dyDescent="0.3">
      <c r="A46" s="2"/>
      <c r="B46" s="2"/>
      <c r="C46" s="2"/>
      <c r="D46" s="3"/>
      <c r="E46" s="2"/>
      <c r="F46" s="2"/>
      <c r="G46" s="2"/>
      <c r="H46" s="4"/>
      <c r="I46" s="3"/>
      <c r="J46" s="2"/>
      <c r="K46" s="2"/>
      <c r="L46" s="2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</row>
    <row r="47" spans="1:109" x14ac:dyDescent="0.3">
      <c r="A47" s="2"/>
      <c r="B47" s="2"/>
      <c r="C47" s="2"/>
      <c r="D47" s="3"/>
      <c r="E47" s="2"/>
      <c r="F47" s="2"/>
      <c r="G47" s="2"/>
      <c r="H47" s="4"/>
      <c r="I47" s="3"/>
      <c r="J47" s="2"/>
      <c r="K47" s="2"/>
      <c r="L47" s="2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</row>
    <row r="48" spans="1:109" x14ac:dyDescent="0.3">
      <c r="A48" s="2"/>
      <c r="B48" s="2"/>
      <c r="C48" s="2"/>
      <c r="D48" s="3"/>
      <c r="E48" s="2"/>
      <c r="F48" s="2"/>
      <c r="G48" s="2"/>
      <c r="H48" s="4"/>
      <c r="I48" s="3"/>
      <c r="J48" s="2"/>
      <c r="K48" s="2"/>
      <c r="L48" s="2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</row>
    <row r="49" spans="1:109" x14ac:dyDescent="0.3">
      <c r="A49" s="2"/>
      <c r="B49" s="2"/>
      <c r="C49" s="2"/>
      <c r="D49" s="3"/>
      <c r="E49" s="2"/>
      <c r="F49" s="2"/>
      <c r="G49" s="2"/>
      <c r="H49" s="4"/>
      <c r="I49" s="3"/>
      <c r="J49" s="2"/>
      <c r="K49" s="2"/>
      <c r="L49" s="2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</row>
    <row r="50" spans="1:109" x14ac:dyDescent="0.3">
      <c r="A50" s="2"/>
      <c r="B50" s="2"/>
      <c r="C50" s="2"/>
      <c r="D50" s="3"/>
      <c r="E50" s="2"/>
      <c r="F50" s="2"/>
      <c r="G50" s="2"/>
      <c r="H50" s="4"/>
      <c r="I50" s="3"/>
      <c r="J50" s="2"/>
      <c r="K50" s="2"/>
      <c r="L50" s="2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</row>
    <row r="51" spans="1:109" x14ac:dyDescent="0.3">
      <c r="A51" s="2"/>
      <c r="B51" s="2"/>
      <c r="C51" s="2"/>
      <c r="D51" s="3"/>
      <c r="E51" s="2"/>
      <c r="F51" s="2"/>
      <c r="G51" s="2"/>
      <c r="H51" s="4"/>
      <c r="I51" s="3"/>
      <c r="J51" s="2"/>
      <c r="K51" s="2"/>
      <c r="L51" s="2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</row>
    <row r="52" spans="1:109" x14ac:dyDescent="0.3">
      <c r="A52" s="2"/>
      <c r="B52" s="2"/>
      <c r="C52" s="2"/>
      <c r="D52" s="3"/>
      <c r="E52" s="2"/>
      <c r="F52" s="2"/>
      <c r="G52" s="2"/>
      <c r="H52" s="4"/>
      <c r="I52" s="3"/>
      <c r="J52" s="2"/>
      <c r="K52" s="2"/>
      <c r="L52" s="2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</row>
    <row r="53" spans="1:109" x14ac:dyDescent="0.3">
      <c r="A53" s="2"/>
      <c r="B53" s="2"/>
      <c r="C53" s="2"/>
      <c r="D53" s="3"/>
      <c r="E53" s="2"/>
      <c r="F53" s="2"/>
      <c r="G53" s="2"/>
      <c r="H53" s="4"/>
      <c r="I53" s="3"/>
      <c r="J53" s="2"/>
      <c r="K53" s="2"/>
      <c r="L53" s="2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</row>
    <row r="54" spans="1:109" x14ac:dyDescent="0.3">
      <c r="A54" s="2"/>
      <c r="B54" s="2"/>
      <c r="C54" s="2"/>
      <c r="D54" s="3"/>
      <c r="E54" s="2"/>
      <c r="F54" s="2"/>
      <c r="G54" s="2"/>
      <c r="H54" s="4"/>
      <c r="I54" s="3"/>
      <c r="J54" s="2"/>
      <c r="K54" s="2"/>
      <c r="L54" s="2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</row>
    <row r="55" spans="1:109" x14ac:dyDescent="0.3">
      <c r="A55" s="2"/>
      <c r="B55" s="2"/>
      <c r="C55" s="2"/>
      <c r="D55" s="3"/>
      <c r="E55" s="2"/>
      <c r="F55" s="2"/>
      <c r="G55" s="2"/>
      <c r="H55" s="4"/>
      <c r="I55" s="3"/>
      <c r="J55" s="2"/>
      <c r="K55" s="2"/>
      <c r="L55" s="2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</row>
    <row r="56" spans="1:109" x14ac:dyDescent="0.3">
      <c r="A56" s="2"/>
      <c r="B56" s="2"/>
      <c r="C56" s="2"/>
      <c r="D56" s="3"/>
      <c r="E56" s="2"/>
      <c r="F56" s="2"/>
      <c r="G56" s="2"/>
      <c r="H56" s="4"/>
      <c r="I56" s="3"/>
      <c r="J56" s="2"/>
      <c r="K56" s="2"/>
      <c r="L56" s="2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</row>
    <row r="57" spans="1:109" x14ac:dyDescent="0.3">
      <c r="A57" s="2"/>
      <c r="B57" s="2"/>
      <c r="C57" s="2"/>
      <c r="D57" s="3"/>
      <c r="E57" s="2"/>
      <c r="F57" s="2"/>
      <c r="G57" s="2"/>
      <c r="H57" s="4"/>
      <c r="I57" s="3"/>
      <c r="J57" s="2"/>
      <c r="K57" s="2"/>
      <c r="L57" s="2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</row>
    <row r="58" spans="1:109" x14ac:dyDescent="0.3">
      <c r="A58" s="2"/>
      <c r="B58" s="2"/>
      <c r="C58" s="2"/>
      <c r="D58" s="3"/>
      <c r="E58" s="2"/>
      <c r="F58" s="2"/>
      <c r="G58" s="2"/>
      <c r="H58" s="4"/>
      <c r="I58" s="3"/>
      <c r="J58" s="2"/>
      <c r="K58" s="2"/>
      <c r="L58" s="2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</row>
    <row r="59" spans="1:109" x14ac:dyDescent="0.3">
      <c r="A59" s="2"/>
      <c r="B59" s="2"/>
      <c r="C59" s="2"/>
      <c r="D59" s="3"/>
      <c r="E59" s="2"/>
      <c r="F59" s="2"/>
      <c r="G59" s="2"/>
      <c r="H59" s="4"/>
      <c r="I59" s="3"/>
      <c r="J59" s="2"/>
      <c r="K59" s="2"/>
      <c r="L59" s="2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</row>
    <row r="60" spans="1:109" x14ac:dyDescent="0.3">
      <c r="A60" s="2"/>
      <c r="B60" s="2"/>
      <c r="C60" s="2"/>
      <c r="D60" s="3"/>
      <c r="E60" s="2"/>
      <c r="F60" s="2"/>
      <c r="G60" s="2"/>
      <c r="H60" s="4"/>
      <c r="I60" s="3"/>
      <c r="J60" s="2"/>
      <c r="K60" s="2"/>
      <c r="L60" s="2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</row>
    <row r="61" spans="1:109" x14ac:dyDescent="0.3">
      <c r="A61" s="2"/>
      <c r="B61" s="2"/>
      <c r="C61" s="2"/>
      <c r="D61" s="3"/>
      <c r="E61" s="2"/>
      <c r="F61" s="2"/>
      <c r="G61" s="2"/>
      <c r="H61" s="4"/>
      <c r="I61" s="3"/>
      <c r="J61" s="2"/>
      <c r="K61" s="2"/>
      <c r="L61" s="2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</row>
    <row r="62" spans="1:109" x14ac:dyDescent="0.3">
      <c r="A62" s="2"/>
      <c r="B62" s="2"/>
      <c r="C62" s="2"/>
      <c r="D62" s="3"/>
      <c r="E62" s="2"/>
      <c r="F62" s="2"/>
      <c r="G62" s="2"/>
      <c r="H62" s="4"/>
      <c r="I62" s="3"/>
      <c r="J62" s="2"/>
      <c r="K62" s="2"/>
      <c r="L62" s="2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</row>
    <row r="63" spans="1:109" x14ac:dyDescent="0.3">
      <c r="A63" s="2"/>
      <c r="B63" s="2"/>
      <c r="C63" s="2"/>
      <c r="D63" s="3"/>
      <c r="E63" s="2"/>
      <c r="F63" s="2"/>
      <c r="G63" s="2"/>
      <c r="H63" s="4"/>
      <c r="I63" s="3"/>
      <c r="J63" s="2"/>
      <c r="K63" s="2"/>
      <c r="L63" s="2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</row>
    <row r="64" spans="1:109" x14ac:dyDescent="0.3">
      <c r="A64" s="2"/>
      <c r="B64" s="2"/>
      <c r="C64" s="2"/>
      <c r="D64" s="3"/>
      <c r="E64" s="2"/>
      <c r="F64" s="2"/>
      <c r="G64" s="2"/>
      <c r="H64" s="4"/>
      <c r="I64" s="3"/>
      <c r="J64" s="2"/>
      <c r="K64" s="2"/>
      <c r="L64" s="2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</row>
    <row r="65" spans="1:109" x14ac:dyDescent="0.3">
      <c r="A65" s="2"/>
      <c r="B65" s="2"/>
      <c r="C65" s="2"/>
      <c r="D65" s="3"/>
      <c r="E65" s="2"/>
      <c r="F65" s="2"/>
      <c r="G65" s="2"/>
      <c r="H65" s="4"/>
      <c r="I65" s="3"/>
      <c r="J65" s="2"/>
      <c r="K65" s="2"/>
      <c r="L65" s="2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</row>
    <row r="66" spans="1:109" x14ac:dyDescent="0.3">
      <c r="A66" s="2"/>
      <c r="B66" s="2"/>
      <c r="C66" s="2"/>
      <c r="D66" s="3"/>
      <c r="E66" s="2"/>
      <c r="F66" s="2"/>
      <c r="G66" s="2"/>
      <c r="H66" s="4"/>
      <c r="I66" s="3"/>
      <c r="J66" s="2"/>
      <c r="K66" s="2"/>
      <c r="L66" s="2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</row>
    <row r="67" spans="1:109" x14ac:dyDescent="0.3">
      <c r="A67" s="2"/>
      <c r="B67" s="2"/>
      <c r="C67" s="2"/>
      <c r="D67" s="3"/>
      <c r="E67" s="2"/>
      <c r="F67" s="2"/>
      <c r="G67" s="2"/>
      <c r="H67" s="4"/>
      <c r="I67" s="3"/>
      <c r="J67" s="2"/>
      <c r="K67" s="2"/>
      <c r="L67" s="2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</row>
    <row r="68" spans="1:109" x14ac:dyDescent="0.3">
      <c r="A68" s="2"/>
      <c r="B68" s="2"/>
      <c r="C68" s="2"/>
      <c r="D68" s="3"/>
      <c r="E68" s="2"/>
      <c r="F68" s="2"/>
      <c r="G68" s="2"/>
      <c r="H68" s="4"/>
      <c r="I68" s="3"/>
      <c r="J68" s="2"/>
      <c r="K68" s="2"/>
      <c r="L68" s="2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</row>
    <row r="69" spans="1:109" x14ac:dyDescent="0.3">
      <c r="A69" s="2"/>
      <c r="B69" s="2"/>
      <c r="C69" s="2"/>
      <c r="D69" s="3"/>
      <c r="E69" s="2"/>
      <c r="F69" s="2"/>
      <c r="G69" s="2"/>
      <c r="H69" s="4"/>
      <c r="I69" s="3"/>
      <c r="J69" s="2"/>
      <c r="K69" s="2"/>
      <c r="L69" s="2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</row>
    <row r="70" spans="1:109" x14ac:dyDescent="0.3">
      <c r="A70" s="2"/>
      <c r="B70" s="2"/>
      <c r="C70" s="2"/>
      <c r="D70" s="3"/>
      <c r="E70" s="2"/>
      <c r="F70" s="2"/>
      <c r="G70" s="2"/>
      <c r="H70" s="4"/>
      <c r="I70" s="3"/>
      <c r="J70" s="2"/>
      <c r="K70" s="2"/>
      <c r="L70" s="2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</row>
    <row r="71" spans="1:109" x14ac:dyDescent="0.3">
      <c r="A71" s="2"/>
      <c r="B71" s="2"/>
      <c r="C71" s="2"/>
      <c r="D71" s="3"/>
      <c r="E71" s="2"/>
      <c r="F71" s="2"/>
      <c r="G71" s="2"/>
      <c r="H71" s="4"/>
      <c r="I71" s="3"/>
      <c r="J71" s="2"/>
      <c r="K71" s="2"/>
      <c r="L71" s="2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</row>
    <row r="72" spans="1:109" x14ac:dyDescent="0.3">
      <c r="A72" s="2"/>
      <c r="B72" s="2"/>
      <c r="C72" s="2"/>
      <c r="D72" s="3"/>
      <c r="E72" s="2"/>
      <c r="F72" s="2"/>
      <c r="G72" s="2"/>
      <c r="H72" s="4"/>
      <c r="I72" s="3"/>
      <c r="J72" s="2"/>
      <c r="K72" s="2"/>
      <c r="L72" s="2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</row>
    <row r="73" spans="1:109" x14ac:dyDescent="0.3">
      <c r="A73" s="2"/>
      <c r="B73" s="2"/>
      <c r="C73" s="2"/>
      <c r="D73" s="3"/>
      <c r="E73" s="2"/>
      <c r="F73" s="2"/>
      <c r="G73" s="2"/>
      <c r="H73" s="4"/>
      <c r="I73" s="3"/>
      <c r="J73" s="2"/>
      <c r="K73" s="2"/>
      <c r="L73" s="2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</row>
    <row r="74" spans="1:109" x14ac:dyDescent="0.3">
      <c r="A74" s="2"/>
      <c r="B74" s="2"/>
      <c r="C74" s="2"/>
      <c r="D74" s="3"/>
      <c r="E74" s="2"/>
      <c r="F74" s="2"/>
      <c r="G74" s="2"/>
      <c r="H74" s="4"/>
      <c r="I74" s="3"/>
      <c r="J74" s="2"/>
      <c r="K74" s="2"/>
      <c r="L74" s="2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</row>
    <row r="75" spans="1:109" x14ac:dyDescent="0.3">
      <c r="A75" s="2"/>
      <c r="B75" s="2"/>
      <c r="C75" s="2"/>
      <c r="D75" s="3"/>
      <c r="E75" s="2"/>
      <c r="F75" s="2"/>
      <c r="G75" s="2"/>
      <c r="H75" s="4"/>
      <c r="I75" s="3"/>
      <c r="J75" s="2"/>
      <c r="K75" s="2"/>
      <c r="L75" s="2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</row>
    <row r="76" spans="1:109" x14ac:dyDescent="0.3">
      <c r="A76" s="2"/>
      <c r="B76" s="2"/>
      <c r="C76" s="2"/>
      <c r="D76" s="3"/>
      <c r="E76" s="2"/>
      <c r="F76" s="2"/>
      <c r="G76" s="2"/>
      <c r="H76" s="4"/>
      <c r="I76" s="3"/>
      <c r="J76" s="2"/>
      <c r="K76" s="2"/>
      <c r="L76" s="2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</row>
    <row r="77" spans="1:109" x14ac:dyDescent="0.3">
      <c r="A77" s="2"/>
      <c r="B77" s="2"/>
      <c r="C77" s="2"/>
      <c r="D77" s="3"/>
      <c r="E77" s="2"/>
      <c r="F77" s="2"/>
      <c r="G77" s="2"/>
      <c r="H77" s="4"/>
      <c r="I77" s="3"/>
      <c r="J77" s="2"/>
      <c r="K77" s="2"/>
      <c r="L77" s="2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</row>
    <row r="78" spans="1:109" x14ac:dyDescent="0.3">
      <c r="A78" s="2"/>
      <c r="B78" s="2"/>
      <c r="C78" s="2"/>
      <c r="D78" s="3"/>
      <c r="E78" s="2"/>
      <c r="F78" s="2"/>
      <c r="G78" s="2"/>
      <c r="H78" s="4"/>
      <c r="I78" s="3"/>
      <c r="J78" s="2"/>
      <c r="K78" s="2"/>
      <c r="L78" s="2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</row>
    <row r="79" spans="1:109" x14ac:dyDescent="0.3">
      <c r="A79" s="2"/>
      <c r="B79" s="2"/>
      <c r="C79" s="2"/>
      <c r="D79" s="3"/>
      <c r="E79" s="2"/>
      <c r="F79" s="2"/>
      <c r="G79" s="2"/>
      <c r="H79" s="4"/>
      <c r="I79" s="3"/>
      <c r="J79" s="2"/>
      <c r="K79" s="2"/>
      <c r="L79" s="2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</row>
    <row r="80" spans="1:109" x14ac:dyDescent="0.3">
      <c r="A80" s="2"/>
      <c r="B80" s="2"/>
      <c r="C80" s="2"/>
      <c r="D80" s="3"/>
      <c r="E80" s="2"/>
      <c r="F80" s="2"/>
      <c r="G80" s="2"/>
      <c r="H80" s="4"/>
      <c r="I80" s="3"/>
      <c r="J80" s="2"/>
      <c r="K80" s="2"/>
      <c r="L80" s="2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</row>
    <row r="81" spans="1:109" x14ac:dyDescent="0.3">
      <c r="A81" s="2"/>
      <c r="B81" s="2"/>
      <c r="C81" s="2"/>
      <c r="D81" s="3"/>
      <c r="E81" s="2"/>
      <c r="F81" s="2"/>
      <c r="G81" s="2"/>
      <c r="H81" s="4"/>
      <c r="I81" s="3"/>
      <c r="J81" s="2"/>
      <c r="K81" s="2"/>
      <c r="L81" s="2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</row>
    <row r="82" spans="1:109" x14ac:dyDescent="0.3">
      <c r="A82" s="2"/>
      <c r="B82" s="2"/>
      <c r="C82" s="2"/>
      <c r="D82" s="3"/>
      <c r="E82" s="2"/>
      <c r="F82" s="2"/>
      <c r="G82" s="2"/>
      <c r="H82" s="4"/>
      <c r="I82" s="3"/>
      <c r="J82" s="2"/>
      <c r="K82" s="2"/>
      <c r="L82" s="2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</row>
    <row r="83" spans="1:109" x14ac:dyDescent="0.3">
      <c r="A83" s="2"/>
      <c r="B83" s="2"/>
      <c r="C83" s="2"/>
      <c r="D83" s="3"/>
      <c r="E83" s="2"/>
      <c r="F83" s="2"/>
      <c r="G83" s="2"/>
      <c r="H83" s="4"/>
      <c r="I83" s="3"/>
      <c r="J83" s="2"/>
      <c r="K83" s="2"/>
      <c r="L83" s="2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</row>
    <row r="84" spans="1:109" x14ac:dyDescent="0.3">
      <c r="A84" s="2"/>
      <c r="B84" s="2"/>
      <c r="C84" s="2"/>
      <c r="D84" s="3"/>
      <c r="E84" s="2"/>
      <c r="F84" s="2"/>
      <c r="G84" s="2"/>
      <c r="H84" s="4"/>
      <c r="I84" s="3"/>
      <c r="J84" s="2"/>
      <c r="K84" s="2"/>
      <c r="L84" s="2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</row>
    <row r="85" spans="1:109" x14ac:dyDescent="0.3">
      <c r="A85" s="2"/>
      <c r="B85" s="2"/>
      <c r="C85" s="2"/>
      <c r="D85" s="3"/>
      <c r="E85" s="2"/>
      <c r="F85" s="2"/>
      <c r="G85" s="2"/>
      <c r="H85" s="4"/>
      <c r="I85" s="3"/>
      <c r="J85" s="2"/>
      <c r="K85" s="2"/>
      <c r="L85" s="2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</row>
    <row r="86" spans="1:109" x14ac:dyDescent="0.3">
      <c r="A86" s="2"/>
      <c r="B86" s="2"/>
      <c r="C86" s="2"/>
      <c r="D86" s="3"/>
      <c r="E86" s="2"/>
      <c r="F86" s="2"/>
      <c r="G86" s="2"/>
      <c r="H86" s="4"/>
      <c r="I86" s="3"/>
      <c r="J86" s="2"/>
      <c r="K86" s="2"/>
      <c r="L86" s="2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</row>
    <row r="87" spans="1:109" x14ac:dyDescent="0.3">
      <c r="A87" s="2"/>
      <c r="B87" s="2"/>
      <c r="C87" s="2"/>
      <c r="D87" s="3"/>
      <c r="E87" s="2"/>
      <c r="F87" s="2"/>
      <c r="G87" s="2"/>
      <c r="H87" s="4"/>
      <c r="I87" s="3"/>
      <c r="J87" s="2"/>
      <c r="K87" s="2"/>
      <c r="L87" s="2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</row>
    <row r="88" spans="1:109" x14ac:dyDescent="0.3">
      <c r="A88" s="2"/>
      <c r="B88" s="2"/>
      <c r="C88" s="2"/>
      <c r="D88" s="3"/>
      <c r="E88" s="2"/>
      <c r="F88" s="2"/>
      <c r="G88" s="2"/>
      <c r="H88" s="4"/>
      <c r="I88" s="3"/>
      <c r="J88" s="2"/>
      <c r="K88" s="2"/>
      <c r="L88" s="2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</row>
    <row r="89" spans="1:109" x14ac:dyDescent="0.3">
      <c r="A89" s="2"/>
      <c r="B89" s="2"/>
      <c r="C89" s="2"/>
      <c r="D89" s="3"/>
      <c r="E89" s="2"/>
      <c r="F89" s="2"/>
      <c r="G89" s="2"/>
      <c r="H89" s="4"/>
      <c r="I89" s="3"/>
      <c r="J89" s="2"/>
      <c r="K89" s="2"/>
      <c r="L89" s="2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</row>
    <row r="90" spans="1:109" x14ac:dyDescent="0.3">
      <c r="A90" s="2"/>
      <c r="B90" s="2"/>
      <c r="C90" s="2"/>
      <c r="D90" s="3"/>
      <c r="E90" s="2"/>
      <c r="F90" s="2"/>
      <c r="G90" s="2"/>
      <c r="H90" s="4"/>
      <c r="I90" s="3"/>
      <c r="J90" s="2"/>
      <c r="K90" s="2"/>
      <c r="L90" s="2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</row>
    <row r="91" spans="1:109" x14ac:dyDescent="0.3">
      <c r="A91" s="2"/>
      <c r="B91" s="2"/>
      <c r="C91" s="2"/>
      <c r="D91" s="3"/>
      <c r="E91" s="2"/>
      <c r="F91" s="2"/>
      <c r="G91" s="2"/>
      <c r="H91" s="4"/>
      <c r="I91" s="3"/>
      <c r="J91" s="2"/>
      <c r="K91" s="2"/>
      <c r="L91" s="2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</row>
    <row r="92" spans="1:109" x14ac:dyDescent="0.3">
      <c r="A92" s="2"/>
      <c r="B92" s="2"/>
      <c r="C92" s="2"/>
      <c r="D92" s="3"/>
      <c r="E92" s="2"/>
      <c r="F92" s="2"/>
      <c r="G92" s="2"/>
      <c r="H92" s="4"/>
      <c r="I92" s="3"/>
      <c r="J92" s="2"/>
      <c r="K92" s="2"/>
      <c r="L92" s="2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</row>
    <row r="93" spans="1:109" x14ac:dyDescent="0.3">
      <c r="A93" s="2"/>
      <c r="B93" s="2"/>
      <c r="C93" s="2"/>
      <c r="D93" s="3"/>
      <c r="E93" s="2"/>
      <c r="F93" s="2"/>
      <c r="G93" s="2"/>
      <c r="H93" s="4"/>
      <c r="I93" s="3"/>
      <c r="J93" s="2"/>
      <c r="K93" s="2"/>
      <c r="L93" s="2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</row>
    <row r="94" spans="1:109" x14ac:dyDescent="0.3">
      <c r="A94" s="2"/>
      <c r="B94" s="2"/>
      <c r="C94" s="2"/>
      <c r="D94" s="3"/>
      <c r="E94" s="2"/>
      <c r="F94" s="2"/>
      <c r="G94" s="2"/>
      <c r="H94" s="4"/>
      <c r="I94" s="3"/>
      <c r="J94" s="2"/>
      <c r="K94" s="2"/>
      <c r="L94" s="2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</row>
    <row r="95" spans="1:109" x14ac:dyDescent="0.3">
      <c r="A95" s="2"/>
      <c r="B95" s="2"/>
      <c r="C95" s="2"/>
      <c r="D95" s="3"/>
      <c r="E95" s="2"/>
      <c r="F95" s="2"/>
      <c r="G95" s="2"/>
      <c r="H95" s="4"/>
      <c r="I95" s="3"/>
      <c r="J95" s="2"/>
      <c r="K95" s="2"/>
      <c r="L95" s="2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</row>
    <row r="96" spans="1:109" x14ac:dyDescent="0.3">
      <c r="A96" s="2"/>
      <c r="B96" s="2"/>
      <c r="C96" s="2"/>
      <c r="D96" s="3"/>
      <c r="E96" s="2"/>
      <c r="F96" s="2"/>
      <c r="G96" s="2"/>
      <c r="H96" s="4"/>
      <c r="I96" s="3"/>
      <c r="J96" s="2"/>
      <c r="K96" s="2"/>
      <c r="L96" s="2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</row>
    <row r="97" spans="1:109" x14ac:dyDescent="0.3">
      <c r="A97" s="2"/>
      <c r="B97" s="2"/>
      <c r="C97" s="2"/>
      <c r="D97" s="3"/>
      <c r="E97" s="2"/>
      <c r="F97" s="2"/>
      <c r="G97" s="2"/>
      <c r="H97" s="4"/>
      <c r="I97" s="3"/>
      <c r="J97" s="2"/>
      <c r="K97" s="2"/>
      <c r="L97" s="2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</row>
    <row r="98" spans="1:109" x14ac:dyDescent="0.3">
      <c r="A98" s="2"/>
      <c r="B98" s="2"/>
      <c r="C98" s="2"/>
      <c r="D98" s="3"/>
      <c r="E98" s="2"/>
      <c r="F98" s="2"/>
      <c r="G98" s="2"/>
      <c r="H98" s="4"/>
      <c r="I98" s="3"/>
      <c r="J98" s="2"/>
      <c r="K98" s="2"/>
      <c r="L98" s="2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</row>
    <row r="99" spans="1:109" x14ac:dyDescent="0.3">
      <c r="A99" s="2"/>
      <c r="B99" s="2"/>
      <c r="C99" s="2"/>
      <c r="D99" s="3"/>
      <c r="E99" s="2"/>
      <c r="F99" s="2"/>
      <c r="G99" s="2"/>
      <c r="H99" s="4"/>
      <c r="I99" s="3"/>
      <c r="J99" s="2"/>
      <c r="K99" s="2"/>
      <c r="L99" s="2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</row>
    <row r="100" spans="1:109" x14ac:dyDescent="0.3">
      <c r="A100" s="2"/>
      <c r="B100" s="2"/>
      <c r="C100" s="2"/>
      <c r="D100" s="3"/>
      <c r="E100" s="2"/>
      <c r="F100" s="2"/>
      <c r="G100" s="2"/>
      <c r="H100" s="4"/>
      <c r="I100" s="3"/>
      <c r="J100" s="2"/>
      <c r="K100" s="2"/>
      <c r="L100" s="2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</row>
    <row r="101" spans="1:109" x14ac:dyDescent="0.3">
      <c r="A101" s="2"/>
      <c r="B101" s="2"/>
      <c r="C101" s="2"/>
      <c r="D101" s="3"/>
      <c r="E101" s="2"/>
      <c r="F101" s="2"/>
      <c r="G101" s="2"/>
      <c r="H101" s="4"/>
      <c r="I101" s="3"/>
      <c r="J101" s="2"/>
      <c r="K101" s="2"/>
      <c r="L101" s="2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</row>
    <row r="102" spans="1:109" x14ac:dyDescent="0.3">
      <c r="A102" s="2"/>
      <c r="B102" s="2"/>
      <c r="C102" s="2"/>
      <c r="D102" s="3"/>
      <c r="E102" s="2"/>
      <c r="F102" s="2"/>
      <c r="G102" s="2"/>
      <c r="H102" s="4"/>
      <c r="I102" s="3"/>
      <c r="J102" s="2"/>
      <c r="K102" s="2"/>
      <c r="L102" s="2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</row>
    <row r="103" spans="1:109" x14ac:dyDescent="0.3">
      <c r="A103" s="2"/>
      <c r="B103" s="2"/>
      <c r="C103" s="2"/>
      <c r="D103" s="3"/>
      <c r="E103" s="2"/>
      <c r="F103" s="2"/>
      <c r="G103" s="2"/>
      <c r="H103" s="4"/>
      <c r="I103" s="3"/>
      <c r="J103" s="2"/>
      <c r="K103" s="2"/>
      <c r="L103" s="2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</row>
    <row r="104" spans="1:109" x14ac:dyDescent="0.3">
      <c r="A104" s="2"/>
      <c r="B104" s="2"/>
      <c r="C104" s="2"/>
      <c r="D104" s="3"/>
      <c r="E104" s="2"/>
      <c r="F104" s="2"/>
      <c r="G104" s="2"/>
      <c r="H104" s="4"/>
      <c r="I104" s="3"/>
      <c r="J104" s="2"/>
      <c r="K104" s="2"/>
      <c r="L104" s="2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</row>
    <row r="105" spans="1:109" x14ac:dyDescent="0.3">
      <c r="A105" s="2"/>
      <c r="B105" s="2"/>
      <c r="C105" s="2"/>
      <c r="D105" s="3"/>
      <c r="E105" s="2"/>
      <c r="F105" s="2"/>
      <c r="G105" s="2"/>
      <c r="H105" s="4"/>
      <c r="I105" s="3"/>
      <c r="J105" s="2"/>
      <c r="K105" s="2"/>
      <c r="L105" s="2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</row>
    <row r="106" spans="1:109" x14ac:dyDescent="0.3">
      <c r="A106" s="2"/>
      <c r="B106" s="2"/>
      <c r="C106" s="2"/>
      <c r="D106" s="3"/>
      <c r="E106" s="2"/>
      <c r="F106" s="2"/>
      <c r="G106" s="2"/>
      <c r="H106" s="4"/>
      <c r="I106" s="3"/>
      <c r="J106" s="2"/>
      <c r="K106" s="2"/>
      <c r="L106" s="2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</row>
    <row r="107" spans="1:109" x14ac:dyDescent="0.3">
      <c r="A107" s="2"/>
      <c r="B107" s="2"/>
      <c r="C107" s="2"/>
      <c r="D107" s="3"/>
      <c r="E107" s="2"/>
      <c r="F107" s="2"/>
      <c r="G107" s="2"/>
      <c r="H107" s="4"/>
      <c r="I107" s="3"/>
      <c r="J107" s="2"/>
      <c r="K107" s="2"/>
      <c r="L107" s="2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</row>
    <row r="108" spans="1:109" x14ac:dyDescent="0.3">
      <c r="A108" s="2"/>
      <c r="B108" s="2"/>
      <c r="C108" s="2"/>
      <c r="D108" s="3"/>
      <c r="E108" s="2"/>
      <c r="F108" s="2"/>
      <c r="G108" s="2"/>
      <c r="H108" s="4"/>
      <c r="I108" s="3"/>
      <c r="J108" s="2"/>
      <c r="K108" s="2"/>
      <c r="L108" s="2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</row>
    <row r="109" spans="1:109" x14ac:dyDescent="0.3">
      <c r="A109" s="2"/>
      <c r="B109" s="2"/>
      <c r="C109" s="2"/>
      <c r="D109" s="3"/>
      <c r="E109" s="2"/>
      <c r="F109" s="2"/>
      <c r="G109" s="2"/>
      <c r="H109" s="4"/>
      <c r="I109" s="3"/>
      <c r="J109" s="2"/>
      <c r="K109" s="2"/>
      <c r="L109" s="2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</row>
    <row r="110" spans="1:109" x14ac:dyDescent="0.3">
      <c r="A110" s="2"/>
      <c r="B110" s="2"/>
      <c r="C110" s="2"/>
      <c r="D110" s="3"/>
      <c r="E110" s="2"/>
      <c r="F110" s="2"/>
      <c r="G110" s="2"/>
      <c r="H110" s="4"/>
      <c r="I110" s="3"/>
      <c r="J110" s="2"/>
      <c r="K110" s="2"/>
      <c r="L110" s="2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</row>
    <row r="111" spans="1:109" x14ac:dyDescent="0.3">
      <c r="A111" s="2"/>
      <c r="B111" s="2"/>
      <c r="C111" s="2"/>
      <c r="D111" s="3"/>
      <c r="E111" s="2"/>
      <c r="F111" s="2"/>
      <c r="G111" s="2"/>
      <c r="H111" s="4"/>
      <c r="I111" s="3"/>
      <c r="J111" s="2"/>
      <c r="K111" s="2"/>
      <c r="L111" s="2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</row>
    <row r="112" spans="1:109" x14ac:dyDescent="0.3">
      <c r="A112" s="2"/>
      <c r="B112" s="2"/>
      <c r="C112" s="2"/>
      <c r="D112" s="3"/>
      <c r="E112" s="2"/>
      <c r="F112" s="2"/>
      <c r="G112" s="2"/>
      <c r="H112" s="4"/>
      <c r="I112" s="3"/>
      <c r="J112" s="2"/>
      <c r="K112" s="2"/>
      <c r="L112" s="2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</row>
    <row r="113" spans="1:109" x14ac:dyDescent="0.3">
      <c r="A113" s="2"/>
      <c r="B113" s="2"/>
      <c r="C113" s="2"/>
      <c r="D113" s="3"/>
      <c r="E113" s="2"/>
      <c r="F113" s="2"/>
      <c r="G113" s="2"/>
      <c r="H113" s="4"/>
      <c r="I113" s="3"/>
      <c r="J113" s="2"/>
      <c r="K113" s="2"/>
      <c r="L113" s="2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</row>
    <row r="114" spans="1:109" x14ac:dyDescent="0.3">
      <c r="A114" s="2"/>
      <c r="B114" s="2"/>
      <c r="C114" s="2"/>
      <c r="D114" s="3"/>
      <c r="E114" s="2"/>
      <c r="F114" s="2"/>
      <c r="G114" s="2"/>
      <c r="H114" s="4"/>
      <c r="I114" s="3"/>
      <c r="J114" s="2"/>
      <c r="K114" s="2"/>
      <c r="L114" s="2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</row>
    <row r="115" spans="1:109" x14ac:dyDescent="0.3">
      <c r="A115" s="2"/>
      <c r="B115" s="2"/>
      <c r="C115" s="2"/>
      <c r="D115" s="3"/>
      <c r="E115" s="2"/>
      <c r="F115" s="2"/>
      <c r="G115" s="2"/>
      <c r="H115" s="4"/>
      <c r="I115" s="3"/>
      <c r="J115" s="2"/>
      <c r="K115" s="2"/>
      <c r="L115" s="2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</row>
    <row r="116" spans="1:109" x14ac:dyDescent="0.3">
      <c r="A116" s="2"/>
      <c r="B116" s="2"/>
      <c r="C116" s="2"/>
      <c r="D116" s="3"/>
      <c r="E116" s="2"/>
      <c r="F116" s="2"/>
      <c r="G116" s="2"/>
      <c r="H116" s="4"/>
      <c r="I116" s="3"/>
      <c r="J116" s="2"/>
      <c r="K116" s="2"/>
      <c r="L116" s="2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</row>
    <row r="117" spans="1:109" x14ac:dyDescent="0.3">
      <c r="A117" s="2"/>
      <c r="B117" s="2"/>
      <c r="C117" s="2"/>
      <c r="D117" s="3"/>
      <c r="E117" s="2"/>
      <c r="F117" s="2"/>
      <c r="G117" s="2"/>
      <c r="H117" s="4"/>
      <c r="I117" s="3"/>
      <c r="J117" s="2"/>
      <c r="K117" s="2"/>
      <c r="L117" s="2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</row>
    <row r="118" spans="1:109" x14ac:dyDescent="0.3">
      <c r="A118" s="2"/>
      <c r="B118" s="2"/>
      <c r="C118" s="2"/>
      <c r="D118" s="3"/>
      <c r="E118" s="2"/>
      <c r="F118" s="2"/>
      <c r="G118" s="2"/>
      <c r="H118" s="4"/>
      <c r="I118" s="3"/>
      <c r="J118" s="2"/>
      <c r="K118" s="2"/>
      <c r="L118" s="2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</row>
    <row r="119" spans="1:109" x14ac:dyDescent="0.3">
      <c r="A119" s="2"/>
      <c r="B119" s="2"/>
      <c r="C119" s="2"/>
      <c r="D119" s="3"/>
      <c r="E119" s="2"/>
      <c r="F119" s="2"/>
      <c r="G119" s="2"/>
      <c r="H119" s="4"/>
      <c r="I119" s="3"/>
      <c r="J119" s="2"/>
      <c r="K119" s="2"/>
      <c r="L119" s="2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</row>
    <row r="120" spans="1:109" x14ac:dyDescent="0.3">
      <c r="A120" s="2"/>
      <c r="B120" s="2"/>
      <c r="C120" s="2"/>
      <c r="D120" s="3"/>
      <c r="E120" s="2"/>
      <c r="F120" s="2"/>
      <c r="G120" s="2"/>
      <c r="H120" s="4"/>
      <c r="I120" s="3"/>
      <c r="J120" s="2"/>
      <c r="K120" s="2"/>
      <c r="L120" s="2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</row>
    <row r="121" spans="1:109" x14ac:dyDescent="0.3">
      <c r="A121" s="2"/>
      <c r="B121" s="2"/>
      <c r="C121" s="2"/>
      <c r="D121" s="3"/>
      <c r="E121" s="2"/>
      <c r="F121" s="2"/>
      <c r="G121" s="2"/>
      <c r="H121" s="4"/>
      <c r="I121" s="3"/>
      <c r="J121" s="2"/>
      <c r="K121" s="2"/>
      <c r="L121" s="2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</row>
    <row r="122" spans="1:109" x14ac:dyDescent="0.3">
      <c r="A122" s="2"/>
      <c r="B122" s="2"/>
      <c r="C122" s="2"/>
      <c r="D122" s="3"/>
      <c r="E122" s="2"/>
      <c r="F122" s="2"/>
      <c r="G122" s="2"/>
      <c r="H122" s="4"/>
      <c r="I122" s="3"/>
      <c r="J122" s="2"/>
      <c r="K122" s="2"/>
      <c r="L122" s="2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</row>
    <row r="123" spans="1:109" x14ac:dyDescent="0.3">
      <c r="A123" s="2"/>
      <c r="B123" s="2"/>
      <c r="C123" s="2"/>
      <c r="D123" s="3"/>
      <c r="E123" s="2"/>
      <c r="F123" s="2"/>
      <c r="G123" s="2"/>
      <c r="H123" s="4"/>
      <c r="I123" s="3"/>
      <c r="J123" s="2"/>
      <c r="K123" s="2"/>
      <c r="L123" s="2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</row>
    <row r="124" spans="1:109" x14ac:dyDescent="0.3">
      <c r="A124" s="2"/>
      <c r="B124" s="2"/>
      <c r="C124" s="2"/>
      <c r="D124" s="3"/>
      <c r="E124" s="2"/>
      <c r="F124" s="2"/>
      <c r="G124" s="2"/>
      <c r="H124" s="4"/>
      <c r="I124" s="3"/>
      <c r="J124" s="2"/>
      <c r="K124" s="2"/>
      <c r="L124" s="2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</row>
    <row r="125" spans="1:109" x14ac:dyDescent="0.3">
      <c r="A125" s="2"/>
      <c r="B125" s="2"/>
      <c r="C125" s="2"/>
      <c r="D125" s="3"/>
      <c r="E125" s="2"/>
      <c r="F125" s="2"/>
      <c r="G125" s="2"/>
      <c r="H125" s="4"/>
      <c r="I125" s="3"/>
      <c r="J125" s="2"/>
      <c r="K125" s="2"/>
      <c r="L125" s="2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</row>
    <row r="126" spans="1:109" x14ac:dyDescent="0.3">
      <c r="A126" s="2"/>
      <c r="B126" s="2"/>
      <c r="C126" s="2"/>
      <c r="D126" s="3"/>
      <c r="E126" s="2"/>
      <c r="F126" s="2"/>
      <c r="G126" s="2"/>
      <c r="H126" s="4"/>
      <c r="I126" s="3"/>
      <c r="J126" s="2"/>
      <c r="K126" s="2"/>
      <c r="L126" s="2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</row>
    <row r="127" spans="1:109" x14ac:dyDescent="0.3">
      <c r="A127" s="2"/>
      <c r="B127" s="2"/>
      <c r="C127" s="2"/>
      <c r="D127" s="3"/>
      <c r="E127" s="2"/>
      <c r="F127" s="2"/>
      <c r="G127" s="2"/>
      <c r="H127" s="4"/>
      <c r="I127" s="3"/>
      <c r="J127" s="2"/>
      <c r="K127" s="2"/>
      <c r="L127" s="2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</row>
    <row r="128" spans="1:109" x14ac:dyDescent="0.3">
      <c r="A128" s="2"/>
      <c r="B128" s="2"/>
      <c r="C128" s="2"/>
      <c r="D128" s="3"/>
      <c r="E128" s="2"/>
      <c r="F128" s="2"/>
      <c r="G128" s="2"/>
      <c r="H128" s="4"/>
      <c r="I128" s="3"/>
      <c r="J128" s="2"/>
      <c r="K128" s="2"/>
      <c r="L128" s="2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</row>
    <row r="129" spans="1:109" x14ac:dyDescent="0.3">
      <c r="A129" s="2"/>
      <c r="B129" s="2"/>
      <c r="C129" s="2"/>
      <c r="D129" s="3"/>
      <c r="E129" s="2"/>
      <c r="F129" s="2"/>
      <c r="G129" s="2"/>
      <c r="H129" s="4"/>
      <c r="I129" s="3"/>
      <c r="J129" s="2"/>
      <c r="K129" s="2"/>
      <c r="L129" s="2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</row>
    <row r="130" spans="1:109" x14ac:dyDescent="0.3">
      <c r="A130" s="2"/>
      <c r="B130" s="2"/>
      <c r="C130" s="2"/>
      <c r="D130" s="3"/>
      <c r="E130" s="2"/>
      <c r="F130" s="2"/>
      <c r="G130" s="2"/>
      <c r="H130" s="4"/>
      <c r="I130" s="3"/>
      <c r="J130" s="2"/>
      <c r="K130" s="2"/>
      <c r="L130" s="2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</row>
    <row r="131" spans="1:109" x14ac:dyDescent="0.3">
      <c r="A131" s="2"/>
      <c r="B131" s="2"/>
      <c r="C131" s="2"/>
      <c r="D131" s="3"/>
      <c r="E131" s="2"/>
      <c r="F131" s="2"/>
      <c r="G131" s="2"/>
      <c r="H131" s="4"/>
      <c r="I131" s="3"/>
      <c r="J131" s="2"/>
      <c r="K131" s="2"/>
      <c r="L131" s="2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</row>
    <row r="132" spans="1:109" x14ac:dyDescent="0.3">
      <c r="A132" s="2"/>
      <c r="B132" s="2"/>
      <c r="C132" s="2"/>
      <c r="D132" s="3"/>
      <c r="E132" s="2"/>
      <c r="F132" s="2"/>
      <c r="G132" s="2"/>
      <c r="H132" s="4"/>
      <c r="I132" s="3"/>
      <c r="J132" s="2"/>
      <c r="K132" s="2"/>
      <c r="L132" s="2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</row>
    <row r="133" spans="1:109" x14ac:dyDescent="0.3">
      <c r="A133" s="2"/>
      <c r="B133" s="2"/>
      <c r="C133" s="2"/>
      <c r="D133" s="3"/>
      <c r="E133" s="2"/>
      <c r="F133" s="2"/>
      <c r="G133" s="2"/>
      <c r="H133" s="4"/>
      <c r="I133" s="3"/>
      <c r="J133" s="2"/>
      <c r="K133" s="2"/>
      <c r="L133" s="2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</row>
    <row r="134" spans="1:109" x14ac:dyDescent="0.3">
      <c r="A134" s="2"/>
      <c r="B134" s="2"/>
      <c r="C134" s="2"/>
      <c r="D134" s="3"/>
      <c r="E134" s="2"/>
      <c r="F134" s="2"/>
      <c r="G134" s="2"/>
      <c r="H134" s="4"/>
      <c r="I134" s="3"/>
      <c r="J134" s="2"/>
      <c r="K134" s="2"/>
      <c r="L134" s="2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</row>
    <row r="135" spans="1:109" x14ac:dyDescent="0.3">
      <c r="A135" s="2"/>
      <c r="B135" s="2"/>
      <c r="C135" s="2"/>
      <c r="D135" s="3"/>
      <c r="E135" s="2"/>
      <c r="F135" s="2"/>
      <c r="G135" s="2"/>
      <c r="H135" s="4"/>
      <c r="I135" s="3"/>
      <c r="J135" s="2"/>
      <c r="K135" s="2"/>
      <c r="L135" s="2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</row>
    <row r="136" spans="1:109" x14ac:dyDescent="0.3">
      <c r="A136" s="2"/>
      <c r="B136" s="2"/>
      <c r="C136" s="2"/>
      <c r="D136" s="3"/>
      <c r="E136" s="2"/>
      <c r="F136" s="2"/>
      <c r="G136" s="2"/>
      <c r="H136" s="4"/>
      <c r="I136" s="3"/>
      <c r="J136" s="2"/>
      <c r="K136" s="2"/>
      <c r="L136" s="2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</row>
    <row r="137" spans="1:109" x14ac:dyDescent="0.3">
      <c r="A137" s="2"/>
      <c r="B137" s="2"/>
      <c r="C137" s="2"/>
      <c r="D137" s="3"/>
      <c r="E137" s="2"/>
      <c r="F137" s="2"/>
      <c r="G137" s="2"/>
      <c r="H137" s="4"/>
      <c r="I137" s="3"/>
      <c r="J137" s="2"/>
      <c r="K137" s="2"/>
      <c r="L137" s="2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</row>
    <row r="138" spans="1:109" x14ac:dyDescent="0.3">
      <c r="A138" s="2"/>
      <c r="B138" s="2"/>
      <c r="C138" s="2"/>
      <c r="D138" s="3"/>
      <c r="E138" s="2"/>
      <c r="F138" s="2"/>
      <c r="G138" s="2"/>
      <c r="H138" s="4"/>
      <c r="I138" s="3"/>
      <c r="J138" s="2"/>
      <c r="K138" s="2"/>
      <c r="L138" s="2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</row>
    <row r="139" spans="1:109" x14ac:dyDescent="0.3">
      <c r="A139" s="2"/>
      <c r="B139" s="2"/>
      <c r="C139" s="2"/>
      <c r="D139" s="3"/>
      <c r="E139" s="2"/>
      <c r="F139" s="2"/>
      <c r="G139" s="2"/>
      <c r="H139" s="4"/>
      <c r="I139" s="3"/>
      <c r="J139" s="2"/>
      <c r="K139" s="2"/>
      <c r="L139" s="2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</row>
    <row r="140" spans="1:109" x14ac:dyDescent="0.3">
      <c r="A140" s="2"/>
      <c r="B140" s="2"/>
      <c r="C140" s="2"/>
      <c r="D140" s="3"/>
      <c r="E140" s="2"/>
      <c r="F140" s="2"/>
      <c r="G140" s="2"/>
      <c r="H140" s="4"/>
      <c r="I140" s="3"/>
      <c r="J140" s="2"/>
      <c r="K140" s="2"/>
      <c r="L140" s="2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</row>
    <row r="141" spans="1:109" x14ac:dyDescent="0.3">
      <c r="A141" s="2"/>
      <c r="B141" s="2"/>
      <c r="C141" s="2"/>
      <c r="D141" s="3"/>
      <c r="E141" s="2"/>
      <c r="F141" s="2"/>
      <c r="G141" s="2"/>
      <c r="H141" s="4"/>
      <c r="I141" s="3"/>
      <c r="J141" s="2"/>
      <c r="K141" s="2"/>
      <c r="L141" s="2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</row>
    <row r="142" spans="1:109" x14ac:dyDescent="0.3">
      <c r="A142" s="2"/>
      <c r="B142" s="2"/>
      <c r="C142" s="2"/>
      <c r="D142" s="3"/>
      <c r="E142" s="2"/>
      <c r="F142" s="2"/>
      <c r="G142" s="2"/>
      <c r="H142" s="4"/>
      <c r="I142" s="3"/>
      <c r="J142" s="2"/>
      <c r="K142" s="2"/>
      <c r="L142" s="2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</row>
    <row r="143" spans="1:109" x14ac:dyDescent="0.3">
      <c r="A143" s="2"/>
      <c r="B143" s="2"/>
      <c r="C143" s="2"/>
      <c r="D143" s="3"/>
      <c r="E143" s="2"/>
      <c r="F143" s="2"/>
      <c r="G143" s="2"/>
      <c r="H143" s="4"/>
      <c r="I143" s="3"/>
      <c r="J143" s="2"/>
      <c r="K143" s="2"/>
      <c r="L143" s="2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</row>
    <row r="144" spans="1:109" x14ac:dyDescent="0.3">
      <c r="A144" s="2"/>
      <c r="B144" s="2"/>
      <c r="C144" s="2"/>
      <c r="D144" s="3"/>
      <c r="E144" s="2"/>
      <c r="F144" s="2"/>
      <c r="G144" s="2"/>
      <c r="H144" s="4"/>
      <c r="I144" s="3"/>
      <c r="J144" s="2"/>
      <c r="K144" s="2"/>
      <c r="L144" s="2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</row>
    <row r="145" spans="1:109" x14ac:dyDescent="0.3">
      <c r="A145" s="2"/>
      <c r="B145" s="2"/>
      <c r="C145" s="2"/>
      <c r="D145" s="3"/>
      <c r="E145" s="2"/>
      <c r="F145" s="2"/>
      <c r="G145" s="2"/>
      <c r="H145" s="4"/>
      <c r="I145" s="3"/>
      <c r="J145" s="2"/>
      <c r="K145" s="2"/>
      <c r="L145" s="2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</row>
    <row r="146" spans="1:109" x14ac:dyDescent="0.3">
      <c r="A146" s="2"/>
      <c r="B146" s="2"/>
      <c r="C146" s="2"/>
      <c r="D146" s="3"/>
      <c r="E146" s="2"/>
      <c r="F146" s="2"/>
      <c r="G146" s="2"/>
      <c r="H146" s="4"/>
      <c r="I146" s="3"/>
      <c r="J146" s="2"/>
      <c r="K146" s="2"/>
      <c r="L146" s="2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</row>
    <row r="147" spans="1:109" x14ac:dyDescent="0.3">
      <c r="A147" s="2"/>
      <c r="B147" s="2"/>
      <c r="C147" s="2"/>
      <c r="D147" s="3"/>
      <c r="E147" s="2"/>
      <c r="F147" s="2"/>
      <c r="G147" s="2"/>
      <c r="H147" s="4"/>
      <c r="I147" s="3"/>
      <c r="J147" s="2"/>
      <c r="K147" s="2"/>
      <c r="L147" s="2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</row>
    <row r="148" spans="1:109" x14ac:dyDescent="0.3">
      <c r="A148" s="2"/>
      <c r="B148" s="2"/>
      <c r="C148" s="2"/>
      <c r="D148" s="3"/>
      <c r="E148" s="2"/>
      <c r="F148" s="2"/>
      <c r="G148" s="2"/>
      <c r="H148" s="4"/>
      <c r="I148" s="3"/>
      <c r="J148" s="2"/>
      <c r="K148" s="2"/>
      <c r="L148" s="2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</row>
    <row r="149" spans="1:109" x14ac:dyDescent="0.3">
      <c r="A149" s="2"/>
      <c r="B149" s="2"/>
      <c r="C149" s="2"/>
      <c r="D149" s="3"/>
      <c r="E149" s="2"/>
      <c r="F149" s="2"/>
      <c r="G149" s="2"/>
      <c r="H149" s="4"/>
      <c r="I149" s="3"/>
      <c r="J149" s="2"/>
      <c r="K149" s="2"/>
      <c r="L149" s="2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</row>
    <row r="150" spans="1:109" x14ac:dyDescent="0.3">
      <c r="A150" s="2"/>
      <c r="B150" s="2"/>
      <c r="C150" s="2"/>
      <c r="D150" s="3"/>
      <c r="E150" s="2"/>
      <c r="F150" s="2"/>
      <c r="G150" s="2"/>
      <c r="H150" s="4"/>
      <c r="I150" s="3"/>
      <c r="J150" s="2"/>
      <c r="K150" s="2"/>
      <c r="L150" s="2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</row>
    <row r="151" spans="1:109" x14ac:dyDescent="0.3">
      <c r="A151" s="2"/>
      <c r="B151" s="2"/>
      <c r="C151" s="2"/>
      <c r="D151" s="3"/>
      <c r="E151" s="2"/>
      <c r="F151" s="2"/>
      <c r="G151" s="2"/>
      <c r="H151" s="4"/>
      <c r="I151" s="3"/>
      <c r="J151" s="2"/>
      <c r="K151" s="2"/>
      <c r="L151" s="2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</row>
    <row r="152" spans="1:109" x14ac:dyDescent="0.3">
      <c r="A152" s="2"/>
      <c r="B152" s="2"/>
      <c r="C152" s="2"/>
      <c r="D152" s="3"/>
      <c r="E152" s="2"/>
      <c r="F152" s="2"/>
      <c r="G152" s="2"/>
      <c r="H152" s="4"/>
      <c r="I152" s="3"/>
      <c r="J152" s="2"/>
      <c r="K152" s="2"/>
      <c r="L152" s="2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</row>
    <row r="153" spans="1:109" x14ac:dyDescent="0.3">
      <c r="A153" s="2"/>
      <c r="B153" s="2"/>
      <c r="C153" s="2"/>
      <c r="D153" s="3"/>
      <c r="E153" s="2"/>
      <c r="F153" s="2"/>
      <c r="G153" s="2"/>
      <c r="H153" s="4"/>
      <c r="I153" s="3"/>
      <c r="J153" s="2"/>
      <c r="K153" s="2"/>
      <c r="L153" s="2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</row>
    <row r="154" spans="1:109" x14ac:dyDescent="0.3">
      <c r="A154" s="2"/>
      <c r="B154" s="2"/>
      <c r="C154" s="2"/>
      <c r="D154" s="3"/>
      <c r="E154" s="2"/>
      <c r="F154" s="2"/>
      <c r="G154" s="2"/>
      <c r="H154" s="4"/>
      <c r="I154" s="3"/>
      <c r="J154" s="2"/>
      <c r="K154" s="2"/>
      <c r="L154" s="2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</row>
    <row r="155" spans="1:109" x14ac:dyDescent="0.3">
      <c r="A155" s="2"/>
      <c r="B155" s="2"/>
      <c r="C155" s="2"/>
      <c r="D155" s="3"/>
      <c r="E155" s="2"/>
      <c r="F155" s="2"/>
      <c r="G155" s="2"/>
      <c r="H155" s="4"/>
      <c r="I155" s="3"/>
      <c r="J155" s="2"/>
      <c r="K155" s="2"/>
      <c r="L155" s="2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</row>
    <row r="156" spans="1:109" x14ac:dyDescent="0.3">
      <c r="A156" s="2"/>
      <c r="B156" s="2"/>
      <c r="C156" s="2"/>
      <c r="D156" s="3"/>
      <c r="E156" s="2"/>
      <c r="F156" s="2"/>
      <c r="G156" s="2"/>
      <c r="H156" s="4"/>
      <c r="I156" s="3"/>
      <c r="J156" s="2"/>
      <c r="K156" s="2"/>
      <c r="L156" s="2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</row>
    <row r="157" spans="1:109" x14ac:dyDescent="0.3">
      <c r="A157" s="2"/>
      <c r="B157" s="2"/>
      <c r="C157" s="2"/>
      <c r="D157" s="3"/>
      <c r="E157" s="2"/>
      <c r="F157" s="2"/>
      <c r="G157" s="2"/>
      <c r="H157" s="4"/>
      <c r="I157" s="3"/>
      <c r="J157" s="2"/>
      <c r="K157" s="2"/>
      <c r="L157" s="2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</row>
    <row r="158" spans="1:109" x14ac:dyDescent="0.3">
      <c r="A158" s="2"/>
      <c r="B158" s="2"/>
      <c r="C158" s="2"/>
      <c r="D158" s="3"/>
      <c r="E158" s="2"/>
      <c r="F158" s="2"/>
      <c r="G158" s="2"/>
      <c r="H158" s="4"/>
      <c r="I158" s="3"/>
      <c r="J158" s="2"/>
      <c r="K158" s="2"/>
      <c r="L158" s="2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</row>
    <row r="159" spans="1:109" x14ac:dyDescent="0.3">
      <c r="A159" s="2"/>
      <c r="B159" s="2"/>
      <c r="C159" s="2"/>
      <c r="D159" s="3"/>
      <c r="E159" s="2"/>
      <c r="F159" s="2"/>
      <c r="G159" s="2"/>
      <c r="H159" s="4"/>
      <c r="I159" s="3"/>
      <c r="J159" s="2"/>
      <c r="K159" s="2"/>
      <c r="L159" s="2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</row>
    <row r="160" spans="1:109" x14ac:dyDescent="0.3">
      <c r="A160" s="2"/>
      <c r="B160" s="2"/>
      <c r="C160" s="2"/>
      <c r="D160" s="3"/>
      <c r="E160" s="2"/>
      <c r="F160" s="2"/>
      <c r="G160" s="2"/>
      <c r="H160" s="4"/>
      <c r="I160" s="3"/>
      <c r="J160" s="2"/>
      <c r="K160" s="2"/>
      <c r="L160" s="2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</row>
    <row r="161" spans="1:109" x14ac:dyDescent="0.3">
      <c r="A161" s="2"/>
      <c r="B161" s="2"/>
      <c r="C161" s="2"/>
      <c r="D161" s="3"/>
      <c r="E161" s="2"/>
      <c r="F161" s="2"/>
      <c r="G161" s="2"/>
      <c r="H161" s="4"/>
      <c r="I161" s="3"/>
      <c r="J161" s="2"/>
      <c r="K161" s="2"/>
      <c r="L161" s="2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</row>
    <row r="162" spans="1:109" x14ac:dyDescent="0.3">
      <c r="A162" s="2"/>
      <c r="B162" s="2"/>
      <c r="C162" s="2"/>
      <c r="D162" s="3"/>
      <c r="E162" s="2"/>
      <c r="F162" s="2"/>
      <c r="G162" s="2"/>
      <c r="H162" s="4"/>
      <c r="I162" s="3"/>
      <c r="J162" s="2"/>
      <c r="K162" s="2"/>
      <c r="L162" s="2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</row>
    <row r="163" spans="1:109" x14ac:dyDescent="0.3">
      <c r="A163" s="2"/>
      <c r="B163" s="2"/>
      <c r="C163" s="2"/>
      <c r="D163" s="3"/>
      <c r="E163" s="2"/>
      <c r="F163" s="2"/>
      <c r="G163" s="2"/>
      <c r="H163" s="4"/>
      <c r="I163" s="3"/>
      <c r="J163" s="2"/>
      <c r="K163" s="2"/>
      <c r="L163" s="2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</row>
    <row r="164" spans="1:109" x14ac:dyDescent="0.3">
      <c r="A164" s="2"/>
      <c r="B164" s="2"/>
      <c r="C164" s="2"/>
      <c r="D164" s="3"/>
      <c r="E164" s="2"/>
      <c r="F164" s="2"/>
      <c r="G164" s="2"/>
      <c r="H164" s="4"/>
      <c r="I164" s="3"/>
      <c r="J164" s="2"/>
      <c r="K164" s="2"/>
      <c r="L164" s="2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</row>
    <row r="165" spans="1:109" x14ac:dyDescent="0.3">
      <c r="A165" s="2"/>
      <c r="B165" s="2"/>
      <c r="C165" s="2"/>
      <c r="D165" s="3"/>
      <c r="E165" s="2"/>
      <c r="F165" s="2"/>
      <c r="G165" s="2"/>
      <c r="H165" s="4"/>
      <c r="I165" s="3"/>
      <c r="J165" s="2"/>
      <c r="K165" s="2"/>
      <c r="L165" s="2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</row>
    <row r="166" spans="1:109" x14ac:dyDescent="0.3">
      <c r="A166" s="2"/>
      <c r="B166" s="2"/>
      <c r="C166" s="2"/>
      <c r="D166" s="3"/>
      <c r="E166" s="2"/>
      <c r="F166" s="2"/>
      <c r="G166" s="2"/>
      <c r="H166" s="4"/>
      <c r="I166" s="3"/>
      <c r="J166" s="2"/>
      <c r="K166" s="2"/>
      <c r="L166" s="2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</row>
    <row r="167" spans="1:109" x14ac:dyDescent="0.3">
      <c r="A167" s="2"/>
      <c r="B167" s="2"/>
      <c r="C167" s="2"/>
      <c r="D167" s="3"/>
      <c r="E167" s="2"/>
      <c r="F167" s="2"/>
      <c r="G167" s="2"/>
      <c r="H167" s="4"/>
      <c r="I167" s="3"/>
      <c r="J167" s="2"/>
      <c r="K167" s="2"/>
      <c r="L167" s="2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</row>
    <row r="168" spans="1:109" x14ac:dyDescent="0.3">
      <c r="A168" s="2"/>
      <c r="B168" s="2"/>
      <c r="C168" s="2"/>
      <c r="D168" s="3"/>
      <c r="E168" s="2"/>
      <c r="F168" s="2"/>
      <c r="G168" s="2"/>
      <c r="H168" s="4"/>
      <c r="I168" s="3"/>
      <c r="J168" s="2"/>
      <c r="K168" s="2"/>
      <c r="L168" s="2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</row>
    <row r="169" spans="1:109" x14ac:dyDescent="0.3">
      <c r="A169" s="2"/>
      <c r="B169" s="2"/>
      <c r="C169" s="2"/>
      <c r="D169" s="3"/>
      <c r="E169" s="2"/>
      <c r="F169" s="2"/>
      <c r="G169" s="2"/>
      <c r="H169" s="4"/>
      <c r="I169" s="3"/>
      <c r="J169" s="2"/>
      <c r="K169" s="2"/>
      <c r="L169" s="2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</row>
    <row r="170" spans="1:109" x14ac:dyDescent="0.3">
      <c r="A170" s="2"/>
      <c r="B170" s="2"/>
      <c r="C170" s="2"/>
      <c r="D170" s="3"/>
      <c r="E170" s="2"/>
      <c r="F170" s="2"/>
      <c r="G170" s="2"/>
      <c r="H170" s="4"/>
      <c r="I170" s="3"/>
      <c r="J170" s="2"/>
      <c r="K170" s="2"/>
      <c r="L170" s="2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</row>
    <row r="171" spans="1:109" x14ac:dyDescent="0.3">
      <c r="A171" s="2"/>
      <c r="B171" s="2"/>
      <c r="C171" s="2"/>
      <c r="D171" s="3"/>
      <c r="E171" s="2"/>
      <c r="F171" s="2"/>
      <c r="G171" s="2"/>
      <c r="H171" s="4"/>
      <c r="I171" s="3"/>
      <c r="J171" s="2"/>
      <c r="K171" s="2"/>
      <c r="L171" s="2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</row>
    <row r="172" spans="1:109" x14ac:dyDescent="0.3">
      <c r="A172" s="2"/>
      <c r="B172" s="2"/>
      <c r="C172" s="2"/>
      <c r="D172" s="3"/>
      <c r="E172" s="2"/>
      <c r="F172" s="2"/>
      <c r="G172" s="2"/>
      <c r="H172" s="4"/>
      <c r="I172" s="3"/>
      <c r="J172" s="2"/>
      <c r="K172" s="2"/>
      <c r="L172" s="2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</row>
    <row r="173" spans="1:109" x14ac:dyDescent="0.3">
      <c r="A173" s="2"/>
      <c r="B173" s="2"/>
      <c r="C173" s="2"/>
      <c r="D173" s="3"/>
      <c r="E173" s="2"/>
      <c r="F173" s="2"/>
      <c r="G173" s="2"/>
      <c r="H173" s="4"/>
      <c r="I173" s="3"/>
      <c r="J173" s="2"/>
      <c r="K173" s="2"/>
      <c r="L173" s="2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</row>
    <row r="174" spans="1:109" x14ac:dyDescent="0.3">
      <c r="A174" s="2"/>
      <c r="B174" s="2"/>
      <c r="C174" s="2"/>
      <c r="D174" s="3"/>
      <c r="E174" s="2"/>
      <c r="F174" s="2"/>
      <c r="G174" s="2"/>
      <c r="H174" s="4"/>
      <c r="I174" s="3"/>
      <c r="J174" s="2"/>
      <c r="K174" s="2"/>
      <c r="L174" s="2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</row>
    <row r="175" spans="1:109" x14ac:dyDescent="0.3">
      <c r="A175" s="2"/>
      <c r="B175" s="2"/>
      <c r="C175" s="2"/>
      <c r="D175" s="3"/>
      <c r="E175" s="2"/>
      <c r="F175" s="2"/>
      <c r="G175" s="2"/>
      <c r="H175" s="4"/>
      <c r="I175" s="3"/>
      <c r="J175" s="2"/>
      <c r="K175" s="2"/>
      <c r="L175" s="2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</row>
    <row r="176" spans="1:109" x14ac:dyDescent="0.3">
      <c r="A176" s="2"/>
      <c r="B176" s="2"/>
      <c r="C176" s="2"/>
      <c r="D176" s="3"/>
      <c r="E176" s="2"/>
      <c r="F176" s="2"/>
      <c r="G176" s="2"/>
      <c r="H176" s="4"/>
      <c r="I176" s="3"/>
      <c r="J176" s="2"/>
      <c r="K176" s="2"/>
      <c r="L176" s="2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</row>
    <row r="177" spans="1:109" x14ac:dyDescent="0.3">
      <c r="A177" s="2"/>
      <c r="B177" s="2"/>
      <c r="C177" s="2"/>
      <c r="D177" s="3"/>
      <c r="E177" s="2"/>
      <c r="F177" s="2"/>
      <c r="G177" s="2"/>
      <c r="H177" s="4"/>
      <c r="I177" s="3"/>
      <c r="J177" s="2"/>
      <c r="K177" s="2"/>
      <c r="L177" s="2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</row>
    <row r="178" spans="1:109" x14ac:dyDescent="0.3">
      <c r="A178" s="2"/>
      <c r="B178" s="2"/>
      <c r="C178" s="2"/>
      <c r="D178" s="3"/>
      <c r="E178" s="2"/>
      <c r="F178" s="2"/>
      <c r="G178" s="2"/>
      <c r="H178" s="4"/>
      <c r="I178" s="3"/>
      <c r="J178" s="2"/>
      <c r="K178" s="2"/>
      <c r="L178" s="2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</row>
    <row r="179" spans="1:109" x14ac:dyDescent="0.3">
      <c r="A179" s="2"/>
      <c r="B179" s="2"/>
      <c r="C179" s="2"/>
      <c r="D179" s="3"/>
      <c r="E179" s="2"/>
      <c r="F179" s="2"/>
      <c r="G179" s="2"/>
      <c r="H179" s="4"/>
      <c r="I179" s="3"/>
      <c r="J179" s="2"/>
      <c r="K179" s="2"/>
      <c r="L179" s="2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</row>
    <row r="180" spans="1:109" x14ac:dyDescent="0.3">
      <c r="A180" s="2"/>
      <c r="B180" s="2"/>
      <c r="C180" s="2"/>
      <c r="D180" s="3"/>
      <c r="E180" s="2"/>
      <c r="F180" s="2"/>
      <c r="G180" s="2"/>
      <c r="H180" s="4"/>
      <c r="I180" s="3"/>
      <c r="J180" s="2"/>
      <c r="K180" s="2"/>
      <c r="L180" s="2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</row>
    <row r="181" spans="1:109" x14ac:dyDescent="0.3">
      <c r="A181" s="2"/>
      <c r="B181" s="2"/>
      <c r="C181" s="2"/>
      <c r="D181" s="3"/>
      <c r="E181" s="2"/>
      <c r="F181" s="2"/>
      <c r="G181" s="2"/>
      <c r="H181" s="4"/>
      <c r="I181" s="3"/>
      <c r="J181" s="2"/>
      <c r="K181" s="2"/>
      <c r="L181" s="2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</row>
    <row r="182" spans="1:109" x14ac:dyDescent="0.3">
      <c r="A182" s="2"/>
      <c r="B182" s="2"/>
      <c r="C182" s="2"/>
      <c r="D182" s="3"/>
      <c r="E182" s="2"/>
      <c r="F182" s="2"/>
      <c r="G182" s="2"/>
      <c r="H182" s="4"/>
      <c r="I182" s="3"/>
      <c r="J182" s="2"/>
      <c r="K182" s="2"/>
      <c r="L182" s="2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</row>
    <row r="183" spans="1:109" x14ac:dyDescent="0.3">
      <c r="A183" s="2"/>
      <c r="B183" s="2"/>
      <c r="C183" s="2"/>
      <c r="D183" s="3"/>
      <c r="E183" s="2"/>
      <c r="F183" s="2"/>
      <c r="G183" s="2"/>
      <c r="H183" s="4"/>
      <c r="I183" s="3"/>
      <c r="J183" s="2"/>
      <c r="K183" s="2"/>
      <c r="L183" s="2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</row>
    <row r="184" spans="1:109" x14ac:dyDescent="0.3">
      <c r="A184" s="2"/>
      <c r="B184" s="2"/>
      <c r="C184" s="2"/>
      <c r="D184" s="3"/>
      <c r="E184" s="2"/>
      <c r="F184" s="2"/>
      <c r="G184" s="2"/>
      <c r="H184" s="4"/>
      <c r="I184" s="3"/>
      <c r="J184" s="2"/>
      <c r="K184" s="2"/>
      <c r="L184" s="2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</row>
    <row r="185" spans="1:109" x14ac:dyDescent="0.3">
      <c r="A185" s="2"/>
      <c r="B185" s="2"/>
      <c r="C185" s="2"/>
      <c r="D185" s="3"/>
      <c r="E185" s="2"/>
      <c r="F185" s="2"/>
      <c r="G185" s="2"/>
      <c r="H185" s="4"/>
      <c r="I185" s="3"/>
      <c r="J185" s="2"/>
      <c r="K185" s="2"/>
      <c r="L185" s="2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</row>
    <row r="186" spans="1:109" x14ac:dyDescent="0.3">
      <c r="A186" s="2"/>
      <c r="B186" s="2"/>
      <c r="C186" s="2"/>
      <c r="D186" s="3"/>
      <c r="E186" s="2"/>
      <c r="F186" s="2"/>
      <c r="G186" s="2"/>
      <c r="H186" s="4"/>
      <c r="I186" s="3"/>
      <c r="J186" s="2"/>
      <c r="K186" s="2"/>
      <c r="L186" s="2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</row>
    <row r="187" spans="1:109" x14ac:dyDescent="0.3">
      <c r="A187" s="2"/>
      <c r="B187" s="2"/>
      <c r="C187" s="2"/>
      <c r="D187" s="3"/>
      <c r="E187" s="2"/>
      <c r="F187" s="2"/>
      <c r="G187" s="2"/>
      <c r="H187" s="4"/>
      <c r="I187" s="3"/>
      <c r="J187" s="2"/>
      <c r="K187" s="2"/>
      <c r="L187" s="2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</row>
    <row r="188" spans="1:109" x14ac:dyDescent="0.3">
      <c r="A188" s="2"/>
      <c r="B188" s="2"/>
      <c r="C188" s="2"/>
      <c r="D188" s="3"/>
      <c r="E188" s="2"/>
      <c r="F188" s="2"/>
      <c r="G188" s="2"/>
      <c r="H188" s="4"/>
      <c r="I188" s="3"/>
      <c r="J188" s="2"/>
      <c r="K188" s="2"/>
      <c r="L188" s="2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</row>
    <row r="189" spans="1:109" x14ac:dyDescent="0.3">
      <c r="A189" s="2"/>
      <c r="B189" s="2"/>
      <c r="C189" s="2"/>
      <c r="D189" s="3"/>
      <c r="E189" s="2"/>
      <c r="F189" s="2"/>
      <c r="G189" s="2"/>
      <c r="H189" s="4"/>
      <c r="I189" s="3"/>
      <c r="J189" s="2"/>
      <c r="K189" s="2"/>
      <c r="L189" s="2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</row>
    <row r="190" spans="1:109" x14ac:dyDescent="0.3">
      <c r="A190" s="2"/>
      <c r="B190" s="2"/>
      <c r="C190" s="2"/>
      <c r="D190" s="3"/>
      <c r="E190" s="2"/>
      <c r="F190" s="2"/>
      <c r="G190" s="2"/>
      <c r="H190" s="4"/>
      <c r="I190" s="3"/>
      <c r="J190" s="2"/>
      <c r="K190" s="2"/>
      <c r="L190" s="2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</row>
    <row r="191" spans="1:109" x14ac:dyDescent="0.3">
      <c r="A191" s="2"/>
      <c r="B191" s="2"/>
      <c r="C191" s="2"/>
      <c r="D191" s="3"/>
      <c r="E191" s="2"/>
      <c r="F191" s="2"/>
      <c r="G191" s="2"/>
      <c r="H191" s="4"/>
      <c r="I191" s="3"/>
      <c r="J191" s="2"/>
      <c r="K191" s="2"/>
      <c r="L191" s="2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</row>
    <row r="192" spans="1:109" x14ac:dyDescent="0.3">
      <c r="A192" s="2"/>
      <c r="B192" s="2"/>
      <c r="C192" s="2"/>
      <c r="D192" s="3"/>
      <c r="E192" s="2"/>
      <c r="F192" s="2"/>
      <c r="G192" s="2"/>
      <c r="H192" s="4"/>
      <c r="I192" s="3"/>
      <c r="J192" s="2"/>
      <c r="K192" s="2"/>
      <c r="L192" s="2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</row>
    <row r="193" spans="1:109" x14ac:dyDescent="0.3">
      <c r="A193" s="2"/>
      <c r="B193" s="2"/>
      <c r="C193" s="2"/>
      <c r="D193" s="3"/>
      <c r="E193" s="2"/>
      <c r="F193" s="2"/>
      <c r="G193" s="2"/>
      <c r="H193" s="4"/>
      <c r="I193" s="3"/>
      <c r="J193" s="2"/>
      <c r="K193" s="2"/>
      <c r="L193" s="2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</row>
    <row r="194" spans="1:109" x14ac:dyDescent="0.3">
      <c r="A194" s="2"/>
      <c r="B194" s="2"/>
      <c r="C194" s="2"/>
      <c r="D194" s="3"/>
      <c r="E194" s="2"/>
      <c r="F194" s="2"/>
      <c r="G194" s="2"/>
      <c r="H194" s="4"/>
      <c r="I194" s="3"/>
      <c r="J194" s="2"/>
      <c r="K194" s="2"/>
      <c r="L194" s="2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</row>
    <row r="195" spans="1:109" x14ac:dyDescent="0.3">
      <c r="A195" s="2"/>
      <c r="B195" s="2"/>
      <c r="C195" s="2"/>
      <c r="D195" s="3"/>
      <c r="E195" s="2"/>
      <c r="F195" s="2"/>
      <c r="G195" s="2"/>
      <c r="H195" s="4"/>
      <c r="I195" s="3"/>
      <c r="J195" s="2"/>
      <c r="K195" s="2"/>
      <c r="L195" s="2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</row>
    <row r="196" spans="1:109" x14ac:dyDescent="0.3">
      <c r="A196" s="2"/>
      <c r="B196" s="2"/>
      <c r="C196" s="2"/>
      <c r="D196" s="3"/>
      <c r="E196" s="2"/>
      <c r="F196" s="2"/>
      <c r="G196" s="2"/>
      <c r="H196" s="4"/>
      <c r="I196" s="3"/>
      <c r="J196" s="2"/>
      <c r="K196" s="2"/>
      <c r="L196" s="2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</row>
    <row r="197" spans="1:109" x14ac:dyDescent="0.3">
      <c r="A197" s="2"/>
      <c r="B197" s="2"/>
      <c r="C197" s="2"/>
      <c r="D197" s="3"/>
      <c r="E197" s="2"/>
      <c r="F197" s="2"/>
      <c r="G197" s="2"/>
      <c r="H197" s="4"/>
      <c r="I197" s="3"/>
      <c r="J197" s="2"/>
      <c r="K197" s="2"/>
      <c r="L197" s="2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</row>
    <row r="198" spans="1:109" x14ac:dyDescent="0.3">
      <c r="A198" s="2"/>
      <c r="B198" s="2"/>
      <c r="C198" s="2"/>
      <c r="D198" s="3"/>
      <c r="E198" s="2"/>
      <c r="F198" s="2"/>
      <c r="G198" s="2"/>
      <c r="H198" s="4"/>
      <c r="I198" s="3"/>
      <c r="J198" s="2"/>
      <c r="K198" s="2"/>
      <c r="L198" s="2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</row>
    <row r="199" spans="1:109" x14ac:dyDescent="0.3">
      <c r="A199" s="2"/>
      <c r="B199" s="2"/>
      <c r="C199" s="2"/>
      <c r="D199" s="3"/>
      <c r="E199" s="2"/>
      <c r="F199" s="2"/>
      <c r="G199" s="2"/>
      <c r="H199" s="4"/>
      <c r="I199" s="3"/>
      <c r="J199" s="2"/>
      <c r="K199" s="2"/>
      <c r="L199" s="2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</row>
    <row r="200" spans="1:109" x14ac:dyDescent="0.3">
      <c r="A200" s="2"/>
      <c r="B200" s="2"/>
      <c r="C200" s="2"/>
      <c r="D200" s="3"/>
      <c r="E200" s="2"/>
      <c r="F200" s="2"/>
      <c r="G200" s="2"/>
      <c r="H200" s="4"/>
      <c r="I200" s="3"/>
      <c r="J200" s="2"/>
      <c r="K200" s="2"/>
      <c r="L200" s="2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</row>
    <row r="201" spans="1:109" x14ac:dyDescent="0.3">
      <c r="A201" s="2"/>
      <c r="B201" s="2"/>
      <c r="C201" s="2"/>
      <c r="D201" s="3"/>
      <c r="E201" s="2"/>
      <c r="F201" s="2"/>
      <c r="G201" s="2"/>
      <c r="H201" s="4"/>
      <c r="I201" s="3"/>
      <c r="J201" s="2"/>
      <c r="K201" s="2"/>
      <c r="L201" s="2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</row>
    <row r="202" spans="1:109" x14ac:dyDescent="0.3">
      <c r="A202" s="2"/>
      <c r="B202" s="2"/>
      <c r="C202" s="2"/>
      <c r="D202" s="3"/>
      <c r="E202" s="2"/>
      <c r="F202" s="2"/>
      <c r="G202" s="2"/>
      <c r="H202" s="4"/>
      <c r="I202" s="3"/>
      <c r="J202" s="2"/>
      <c r="K202" s="2"/>
      <c r="L202" s="2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</row>
    <row r="203" spans="1:109" x14ac:dyDescent="0.3">
      <c r="A203" s="2"/>
      <c r="B203" s="2"/>
      <c r="C203" s="2"/>
      <c r="D203" s="3"/>
      <c r="E203" s="2"/>
      <c r="F203" s="2"/>
      <c r="G203" s="2"/>
      <c r="H203" s="4"/>
      <c r="I203" s="3"/>
      <c r="J203" s="2"/>
      <c r="K203" s="2"/>
      <c r="L203" s="2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</row>
    <row r="204" spans="1:109" x14ac:dyDescent="0.3">
      <c r="A204" s="2"/>
      <c r="B204" s="2"/>
      <c r="C204" s="2"/>
      <c r="D204" s="3"/>
      <c r="E204" s="2"/>
      <c r="F204" s="2"/>
      <c r="G204" s="2"/>
      <c r="H204" s="4"/>
      <c r="I204" s="3"/>
      <c r="J204" s="2"/>
      <c r="K204" s="2"/>
      <c r="L204" s="2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</row>
    <row r="205" spans="1:109" x14ac:dyDescent="0.3">
      <c r="A205" s="2"/>
      <c r="B205" s="2"/>
      <c r="C205" s="2"/>
      <c r="D205" s="3"/>
      <c r="E205" s="2"/>
      <c r="F205" s="2"/>
      <c r="G205" s="2"/>
      <c r="H205" s="4"/>
      <c r="I205" s="3"/>
      <c r="J205" s="2"/>
      <c r="K205" s="2"/>
      <c r="L205" s="2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</row>
    <row r="206" spans="1:109" x14ac:dyDescent="0.3">
      <c r="A206" s="2"/>
      <c r="B206" s="2"/>
      <c r="C206" s="2"/>
      <c r="D206" s="3"/>
      <c r="E206" s="2"/>
      <c r="F206" s="2"/>
      <c r="G206" s="2"/>
      <c r="H206" s="4"/>
      <c r="I206" s="3"/>
      <c r="J206" s="2"/>
      <c r="K206" s="2"/>
      <c r="L206" s="2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</row>
    <row r="207" spans="1:109" x14ac:dyDescent="0.3">
      <c r="A207" s="2"/>
      <c r="B207" s="2"/>
      <c r="C207" s="2"/>
      <c r="D207" s="3"/>
      <c r="E207" s="2"/>
      <c r="F207" s="2"/>
      <c r="G207" s="2"/>
      <c r="H207" s="4"/>
      <c r="I207" s="3"/>
      <c r="J207" s="2"/>
      <c r="K207" s="2"/>
      <c r="L207" s="2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</row>
    <row r="208" spans="1:109" x14ac:dyDescent="0.3">
      <c r="A208" s="2"/>
      <c r="B208" s="2"/>
      <c r="C208" s="2"/>
      <c r="D208" s="3"/>
      <c r="E208" s="2"/>
      <c r="F208" s="2"/>
      <c r="G208" s="2"/>
      <c r="H208" s="4"/>
      <c r="I208" s="3"/>
      <c r="J208" s="2"/>
      <c r="K208" s="2"/>
      <c r="L208" s="2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</row>
    <row r="209" spans="1:109" x14ac:dyDescent="0.3">
      <c r="A209" s="2"/>
      <c r="B209" s="2"/>
      <c r="C209" s="2"/>
      <c r="D209" s="3"/>
      <c r="E209" s="2"/>
      <c r="F209" s="2"/>
      <c r="G209" s="2"/>
      <c r="H209" s="4"/>
      <c r="I209" s="3"/>
      <c r="J209" s="2"/>
      <c r="K209" s="2"/>
      <c r="L209" s="2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</row>
    <row r="210" spans="1:109" x14ac:dyDescent="0.3">
      <c r="A210" s="2"/>
      <c r="B210" s="2"/>
      <c r="C210" s="2"/>
      <c r="D210" s="3"/>
      <c r="E210" s="2"/>
      <c r="F210" s="2"/>
      <c r="G210" s="2"/>
      <c r="H210" s="4"/>
      <c r="I210" s="3"/>
      <c r="J210" s="2"/>
      <c r="K210" s="2"/>
      <c r="L210" s="2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</row>
    <row r="211" spans="1:109" x14ac:dyDescent="0.3">
      <c r="A211" s="2"/>
      <c r="B211" s="2"/>
      <c r="C211" s="2"/>
      <c r="D211" s="3"/>
      <c r="E211" s="2"/>
      <c r="F211" s="2"/>
      <c r="G211" s="2"/>
      <c r="H211" s="4"/>
      <c r="I211" s="3"/>
      <c r="J211" s="2"/>
      <c r="K211" s="2"/>
      <c r="L211" s="2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</row>
    <row r="212" spans="1:109" x14ac:dyDescent="0.3">
      <c r="A212" s="2"/>
      <c r="B212" s="2"/>
      <c r="C212" s="2"/>
      <c r="D212" s="3"/>
      <c r="E212" s="2"/>
      <c r="F212" s="2"/>
      <c r="G212" s="2"/>
      <c r="H212" s="4"/>
      <c r="I212" s="3"/>
      <c r="J212" s="2"/>
      <c r="K212" s="2"/>
      <c r="L212" s="2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</row>
    <row r="213" spans="1:109" x14ac:dyDescent="0.3">
      <c r="A213" s="2"/>
      <c r="B213" s="2"/>
      <c r="C213" s="2"/>
      <c r="D213" s="3"/>
      <c r="E213" s="2"/>
      <c r="F213" s="2"/>
      <c r="G213" s="2"/>
      <c r="H213" s="4"/>
      <c r="I213" s="3"/>
      <c r="J213" s="2"/>
      <c r="K213" s="2"/>
      <c r="L213" s="2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</row>
    <row r="214" spans="1:109" x14ac:dyDescent="0.3">
      <c r="A214" s="2"/>
      <c r="B214" s="2"/>
      <c r="C214" s="2"/>
      <c r="D214" s="3"/>
      <c r="E214" s="2"/>
      <c r="F214" s="2"/>
      <c r="G214" s="2"/>
      <c r="H214" s="4"/>
      <c r="I214" s="3"/>
      <c r="J214" s="2"/>
      <c r="K214" s="2"/>
      <c r="L214" s="2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</row>
    <row r="215" spans="1:109" x14ac:dyDescent="0.3">
      <c r="A215" s="2"/>
      <c r="B215" s="2"/>
      <c r="C215" s="2"/>
      <c r="D215" s="3"/>
      <c r="E215" s="2"/>
      <c r="F215" s="2"/>
      <c r="G215" s="2"/>
      <c r="H215" s="4"/>
      <c r="I215" s="3"/>
      <c r="J215" s="2"/>
      <c r="K215" s="2"/>
      <c r="L215" s="2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</row>
    <row r="216" spans="1:109" x14ac:dyDescent="0.3">
      <c r="A216" s="2"/>
      <c r="B216" s="2"/>
      <c r="C216" s="2"/>
      <c r="D216" s="3"/>
      <c r="E216" s="2"/>
      <c r="F216" s="2"/>
      <c r="G216" s="2"/>
      <c r="H216" s="4"/>
      <c r="I216" s="3"/>
      <c r="J216" s="2"/>
      <c r="K216" s="2"/>
      <c r="L216" s="2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</row>
    <row r="217" spans="1:109" x14ac:dyDescent="0.3">
      <c r="A217" s="2"/>
      <c r="B217" s="2"/>
      <c r="C217" s="2"/>
      <c r="D217" s="3"/>
      <c r="E217" s="2"/>
      <c r="F217" s="2"/>
      <c r="G217" s="2"/>
      <c r="H217" s="4"/>
      <c r="I217" s="3"/>
      <c r="J217" s="2"/>
      <c r="K217" s="2"/>
      <c r="L217" s="2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</row>
    <row r="218" spans="1:109" x14ac:dyDescent="0.3">
      <c r="A218" s="2"/>
      <c r="B218" s="2"/>
      <c r="C218" s="2"/>
      <c r="D218" s="3"/>
      <c r="E218" s="2"/>
      <c r="F218" s="2"/>
      <c r="G218" s="2"/>
      <c r="H218" s="4"/>
      <c r="I218" s="3"/>
      <c r="J218" s="2"/>
      <c r="K218" s="2"/>
      <c r="L218" s="2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</row>
    <row r="219" spans="1:109" x14ac:dyDescent="0.3">
      <c r="A219" s="2"/>
      <c r="B219" s="2"/>
      <c r="C219" s="2"/>
      <c r="D219" s="3"/>
      <c r="E219" s="2"/>
      <c r="F219" s="2"/>
      <c r="G219" s="2"/>
      <c r="H219" s="4"/>
      <c r="I219" s="3"/>
      <c r="J219" s="2"/>
      <c r="K219" s="2"/>
      <c r="L219" s="2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</row>
    <row r="220" spans="1:109" x14ac:dyDescent="0.3">
      <c r="A220" s="2"/>
      <c r="B220" s="2"/>
      <c r="C220" s="2"/>
      <c r="D220" s="3"/>
      <c r="E220" s="2"/>
      <c r="F220" s="2"/>
      <c r="G220" s="2"/>
      <c r="H220" s="4"/>
      <c r="I220" s="3"/>
      <c r="J220" s="2"/>
      <c r="K220" s="2"/>
      <c r="L220" s="2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</row>
    <row r="221" spans="1:109" x14ac:dyDescent="0.3">
      <c r="A221" s="2"/>
      <c r="B221" s="2"/>
      <c r="C221" s="2"/>
      <c r="D221" s="3"/>
      <c r="E221" s="2"/>
      <c r="F221" s="2"/>
      <c r="G221" s="2"/>
      <c r="H221" s="4"/>
      <c r="I221" s="3"/>
      <c r="J221" s="2"/>
      <c r="K221" s="2"/>
      <c r="L221" s="2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</row>
    <row r="222" spans="1:109" x14ac:dyDescent="0.3">
      <c r="A222" s="2"/>
      <c r="B222" s="2"/>
      <c r="C222" s="2"/>
      <c r="D222" s="3"/>
      <c r="E222" s="2"/>
      <c r="F222" s="2"/>
      <c r="G222" s="2"/>
      <c r="H222" s="4"/>
      <c r="I222" s="3"/>
      <c r="J222" s="2"/>
      <c r="K222" s="2"/>
      <c r="L222" s="2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</row>
    <row r="223" spans="1:109" x14ac:dyDescent="0.3">
      <c r="A223" s="2"/>
      <c r="B223" s="2"/>
      <c r="C223" s="2"/>
      <c r="D223" s="3"/>
      <c r="E223" s="2"/>
      <c r="F223" s="2"/>
      <c r="G223" s="2"/>
      <c r="H223" s="4"/>
      <c r="I223" s="3"/>
      <c r="J223" s="2"/>
      <c r="K223" s="2"/>
      <c r="L223" s="2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</row>
    <row r="224" spans="1:109" x14ac:dyDescent="0.3">
      <c r="A224" s="2"/>
      <c r="B224" s="2"/>
      <c r="C224" s="2"/>
      <c r="D224" s="3"/>
      <c r="E224" s="2"/>
      <c r="F224" s="2"/>
      <c r="G224" s="2"/>
      <c r="H224" s="4"/>
      <c r="I224" s="3"/>
      <c r="J224" s="2"/>
      <c r="K224" s="2"/>
      <c r="L224" s="2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</row>
    <row r="225" spans="1:109" x14ac:dyDescent="0.3">
      <c r="A225" s="2"/>
      <c r="B225" s="2"/>
      <c r="C225" s="2"/>
      <c r="D225" s="3"/>
      <c r="E225" s="2"/>
      <c r="F225" s="2"/>
      <c r="G225" s="2"/>
      <c r="H225" s="4"/>
      <c r="I225" s="3"/>
      <c r="J225" s="2"/>
      <c r="K225" s="2"/>
      <c r="L225" s="2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</row>
    <row r="226" spans="1:109" x14ac:dyDescent="0.3">
      <c r="A226" s="2"/>
      <c r="B226" s="2"/>
      <c r="C226" s="2"/>
      <c r="D226" s="3"/>
      <c r="E226" s="2"/>
      <c r="F226" s="2"/>
      <c r="G226" s="2"/>
      <c r="H226" s="4"/>
      <c r="I226" s="3"/>
      <c r="J226" s="2"/>
      <c r="K226" s="2"/>
      <c r="L226" s="2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</row>
    <row r="227" spans="1:109" x14ac:dyDescent="0.3">
      <c r="A227" s="2"/>
      <c r="B227" s="2"/>
      <c r="C227" s="2"/>
      <c r="D227" s="3"/>
      <c r="E227" s="2"/>
      <c r="F227" s="2"/>
      <c r="G227" s="2"/>
      <c r="H227" s="4"/>
      <c r="I227" s="3"/>
      <c r="J227" s="2"/>
      <c r="K227" s="2"/>
      <c r="L227" s="2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</row>
    <row r="228" spans="1:109" x14ac:dyDescent="0.3">
      <c r="A228" s="2"/>
      <c r="B228" s="2"/>
      <c r="C228" s="2"/>
      <c r="D228" s="3"/>
      <c r="E228" s="2"/>
      <c r="F228" s="2"/>
      <c r="G228" s="2"/>
      <c r="H228" s="4"/>
      <c r="I228" s="3"/>
      <c r="J228" s="2"/>
      <c r="K228" s="2"/>
      <c r="L228" s="2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</row>
    <row r="229" spans="1:109" x14ac:dyDescent="0.3">
      <c r="A229" s="2"/>
      <c r="B229" s="2"/>
      <c r="C229" s="2"/>
      <c r="D229" s="3"/>
      <c r="E229" s="2"/>
      <c r="F229" s="2"/>
      <c r="G229" s="2"/>
      <c r="H229" s="4"/>
      <c r="I229" s="3"/>
      <c r="J229" s="2"/>
      <c r="K229" s="2"/>
      <c r="L229" s="2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</row>
    <row r="230" spans="1:109" x14ac:dyDescent="0.3">
      <c r="A230" s="2"/>
      <c r="B230" s="2"/>
      <c r="C230" s="2"/>
      <c r="D230" s="3"/>
      <c r="E230" s="2"/>
      <c r="F230" s="2"/>
      <c r="G230" s="2"/>
      <c r="H230" s="4"/>
      <c r="I230" s="3"/>
      <c r="J230" s="2"/>
      <c r="K230" s="2"/>
      <c r="L230" s="2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</row>
    <row r="231" spans="1:109" x14ac:dyDescent="0.3">
      <c r="A231" s="2"/>
      <c r="B231" s="2"/>
      <c r="C231" s="2"/>
      <c r="D231" s="3"/>
      <c r="E231" s="2"/>
      <c r="F231" s="2"/>
      <c r="G231" s="2"/>
      <c r="H231" s="4"/>
      <c r="I231" s="3"/>
      <c r="J231" s="2"/>
      <c r="K231" s="2"/>
      <c r="L231" s="2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</row>
    <row r="232" spans="1:109" x14ac:dyDescent="0.3">
      <c r="A232" s="2"/>
      <c r="B232" s="2"/>
      <c r="C232" s="2"/>
      <c r="D232" s="3"/>
      <c r="E232" s="2"/>
      <c r="F232" s="2"/>
      <c r="G232" s="2"/>
      <c r="H232" s="4"/>
      <c r="I232" s="3"/>
      <c r="J232" s="2"/>
      <c r="K232" s="2"/>
      <c r="L232" s="2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</row>
    <row r="233" spans="1:109" x14ac:dyDescent="0.3">
      <c r="A233" s="2"/>
      <c r="B233" s="2"/>
      <c r="C233" s="2"/>
      <c r="D233" s="3"/>
      <c r="E233" s="2"/>
      <c r="F233" s="2"/>
      <c r="G233" s="2"/>
      <c r="H233" s="4"/>
      <c r="I233" s="3"/>
      <c r="J233" s="2"/>
      <c r="K233" s="2"/>
      <c r="L233" s="2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</row>
    <row r="234" spans="1:109" x14ac:dyDescent="0.3">
      <c r="A234" s="2"/>
      <c r="B234" s="2"/>
      <c r="C234" s="2"/>
      <c r="D234" s="3"/>
      <c r="E234" s="2"/>
      <c r="F234" s="2"/>
      <c r="G234" s="2"/>
      <c r="H234" s="4"/>
      <c r="I234" s="3"/>
      <c r="J234" s="2"/>
      <c r="K234" s="2"/>
      <c r="L234" s="2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</row>
    <row r="235" spans="1:109" x14ac:dyDescent="0.3">
      <c r="A235" s="2"/>
      <c r="B235" s="2"/>
      <c r="C235" s="2"/>
      <c r="D235" s="3"/>
      <c r="E235" s="2"/>
      <c r="F235" s="2"/>
      <c r="G235" s="2"/>
      <c r="H235" s="4"/>
      <c r="I235" s="3"/>
      <c r="J235" s="2"/>
      <c r="K235" s="2"/>
      <c r="L235" s="2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</row>
    <row r="236" spans="1:109" x14ac:dyDescent="0.3">
      <c r="A236" s="2"/>
      <c r="B236" s="2"/>
      <c r="C236" s="2"/>
      <c r="D236" s="3"/>
      <c r="E236" s="2"/>
      <c r="F236" s="2"/>
      <c r="G236" s="2"/>
      <c r="H236" s="4"/>
      <c r="I236" s="3"/>
      <c r="J236" s="2"/>
      <c r="K236" s="2"/>
      <c r="L236" s="2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</row>
    <row r="237" spans="1:109" x14ac:dyDescent="0.3">
      <c r="A237" s="2"/>
      <c r="B237" s="2"/>
      <c r="C237" s="2"/>
      <c r="D237" s="3"/>
      <c r="E237" s="2"/>
      <c r="F237" s="2"/>
      <c r="G237" s="2"/>
      <c r="H237" s="4"/>
      <c r="I237" s="3"/>
      <c r="J237" s="2"/>
      <c r="K237" s="2"/>
      <c r="L237" s="2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</row>
    <row r="238" spans="1:109" x14ac:dyDescent="0.3">
      <c r="A238" s="2"/>
      <c r="B238" s="2"/>
      <c r="C238" s="2"/>
      <c r="D238" s="3"/>
      <c r="E238" s="2"/>
      <c r="F238" s="2"/>
      <c r="G238" s="2"/>
      <c r="H238" s="4"/>
      <c r="I238" s="3"/>
      <c r="J238" s="2"/>
      <c r="K238" s="2"/>
      <c r="L238" s="2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</row>
    <row r="239" spans="1:109" x14ac:dyDescent="0.3">
      <c r="A239" s="2"/>
      <c r="B239" s="2"/>
      <c r="C239" s="2"/>
      <c r="D239" s="3"/>
      <c r="E239" s="2"/>
      <c r="F239" s="2"/>
      <c r="G239" s="2"/>
      <c r="H239" s="4"/>
      <c r="I239" s="3"/>
      <c r="J239" s="2"/>
      <c r="K239" s="2"/>
      <c r="L239" s="2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</row>
    <row r="240" spans="1:109" x14ac:dyDescent="0.3">
      <c r="A240" s="2"/>
      <c r="B240" s="2"/>
      <c r="C240" s="2"/>
      <c r="D240" s="3"/>
      <c r="E240" s="2"/>
      <c r="F240" s="2"/>
      <c r="G240" s="2"/>
      <c r="H240" s="4"/>
      <c r="I240" s="3"/>
      <c r="J240" s="2"/>
      <c r="K240" s="2"/>
      <c r="L240" s="2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</row>
    <row r="241" spans="12:109" x14ac:dyDescent="0.3">
      <c r="L241" s="2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</row>
    <row r="242" spans="12:109" x14ac:dyDescent="0.3">
      <c r="L242" s="2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</row>
    <row r="243" spans="12:109" x14ac:dyDescent="0.3">
      <c r="L243" s="2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</row>
    <row r="244" spans="12:109" x14ac:dyDescent="0.3">
      <c r="L244" s="2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</row>
    <row r="245" spans="12:109" x14ac:dyDescent="0.3">
      <c r="L245" s="2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</row>
    <row r="246" spans="12:109" x14ac:dyDescent="0.3"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</row>
    <row r="247" spans="12:109" x14ac:dyDescent="0.3"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</row>
    <row r="248" spans="12:109" x14ac:dyDescent="0.3"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</row>
    <row r="249" spans="12:109" x14ac:dyDescent="0.3"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</row>
    <row r="250" spans="12:109" x14ac:dyDescent="0.3"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</row>
    <row r="251" spans="12:109" x14ac:dyDescent="0.3"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</row>
    <row r="252" spans="12:109" x14ac:dyDescent="0.3"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</row>
    <row r="253" spans="12:109" x14ac:dyDescent="0.3"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</row>
    <row r="254" spans="12:109" x14ac:dyDescent="0.3"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</row>
    <row r="255" spans="12:109" x14ac:dyDescent="0.3"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</row>
    <row r="256" spans="12:109" x14ac:dyDescent="0.3"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</row>
    <row r="257" spans="13:109" x14ac:dyDescent="0.3"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</row>
    <row r="258" spans="13:109" x14ac:dyDescent="0.3"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</row>
    <row r="259" spans="13:109" x14ac:dyDescent="0.3"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</row>
    <row r="260" spans="13:109" x14ac:dyDescent="0.3"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</row>
    <row r="261" spans="13:109" x14ac:dyDescent="0.3"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</row>
    <row r="262" spans="13:109" x14ac:dyDescent="0.3"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</row>
    <row r="263" spans="13:109" x14ac:dyDescent="0.3"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</row>
  </sheetData>
  <phoneticPr fontId="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1FC0C-B47C-44CB-8318-DDB4B992672A}">
  <sheetPr codeName="Sayfa4"/>
  <dimension ref="A1:V619"/>
  <sheetViews>
    <sheetView workbookViewId="0">
      <selection activeCell="S18" sqref="S18"/>
    </sheetView>
  </sheetViews>
  <sheetFormatPr defaultRowHeight="14.4" x14ac:dyDescent="0.3"/>
  <cols>
    <col min="2" max="4" width="14.88671875" customWidth="1"/>
    <col min="5" max="5" width="25.44140625" customWidth="1"/>
  </cols>
  <sheetData>
    <row r="1" spans="1:22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ht="135.6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2" x14ac:dyDescent="0.3">
      <c r="A3" s="1"/>
      <c r="B3" s="1" t="s">
        <v>70</v>
      </c>
      <c r="C3" s="1" t="s">
        <v>71</v>
      </c>
      <c r="D3" s="1" t="s">
        <v>72</v>
      </c>
      <c r="E3" s="1" t="s">
        <v>78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x14ac:dyDescent="0.3">
      <c r="A4" s="1"/>
      <c r="B4" s="1" t="s">
        <v>73</v>
      </c>
      <c r="C4" s="23">
        <v>44907</v>
      </c>
      <c r="D4" s="23">
        <v>44922</v>
      </c>
      <c r="E4" s="24">
        <f>Tablo4[[#This Row],[İzin Bitiş Tarihi]]-Tablo4[[#This Row],[İzin Başlangıc Tarihi]]</f>
        <v>15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x14ac:dyDescent="0.3">
      <c r="A5" s="1"/>
      <c r="B5" s="1" t="s">
        <v>5</v>
      </c>
      <c r="C5" s="23">
        <v>44578</v>
      </c>
      <c r="D5" s="23">
        <v>44584</v>
      </c>
      <c r="E5" s="24">
        <f>Tablo4[[#This Row],[İzin Bitiş Tarihi]]-Tablo4[[#This Row],[İzin Başlangıc Tarihi]]</f>
        <v>6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x14ac:dyDescent="0.3">
      <c r="A6" s="1"/>
      <c r="B6" s="1" t="s">
        <v>74</v>
      </c>
      <c r="C6" s="23">
        <v>44793</v>
      </c>
      <c r="D6" s="23">
        <v>44799</v>
      </c>
      <c r="E6" s="24">
        <f>Tablo4[[#This Row],[İzin Bitiş Tarihi]]-Tablo4[[#This Row],[İzin Başlangıc Tarihi]]</f>
        <v>6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  <row r="15" spans="1:22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</row>
    <row r="16" spans="1:22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</row>
    <row r="17" spans="1:22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1:22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</row>
    <row r="19" spans="1:22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</row>
    <row r="20" spans="1:22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</row>
    <row r="21" spans="1:22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</row>
    <row r="22" spans="1:22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</row>
    <row r="23" spans="1:22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5" spans="1:2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</row>
    <row r="26" spans="1:2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</row>
    <row r="27" spans="1:2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</row>
    <row r="28" spans="1:2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</row>
    <row r="29" spans="1:2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0" spans="1:2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1" spans="1:2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1:2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3" spans="1:2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</row>
    <row r="34" spans="1:2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35" spans="1:2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</row>
    <row r="36" spans="1:2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</row>
    <row r="37" spans="1:2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</row>
    <row r="38" spans="1:2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</row>
    <row r="39" spans="1:2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</row>
    <row r="40" spans="1:2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</row>
    <row r="41" spans="1:22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</row>
    <row r="42" spans="1:22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</row>
    <row r="43" spans="1:22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</row>
    <row r="44" spans="1:22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</row>
    <row r="45" spans="1:22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22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</row>
    <row r="47" spans="1:22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</row>
    <row r="48" spans="1:22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</row>
    <row r="49" spans="1:22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</row>
    <row r="50" spans="1:22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</row>
    <row r="52" spans="1:22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</row>
    <row r="53" spans="1:2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</row>
    <row r="54" spans="1:22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</row>
    <row r="55" spans="1:22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</row>
    <row r="56" spans="1:22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</row>
    <row r="57" spans="1:22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</row>
    <row r="58" spans="1:22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</row>
    <row r="59" spans="1:22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</row>
    <row r="60" spans="1:22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</row>
    <row r="61" spans="1:22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</row>
    <row r="62" spans="1:22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</row>
    <row r="63" spans="1:22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</row>
    <row r="64" spans="1:22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</row>
    <row r="65" spans="1:22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</row>
    <row r="66" spans="1:22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</row>
    <row r="67" spans="1:22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</row>
    <row r="68" spans="1:22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</row>
    <row r="69" spans="1:22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</row>
    <row r="70" spans="1:22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</row>
    <row r="71" spans="1:22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</row>
    <row r="72" spans="1:22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</row>
    <row r="73" spans="1:22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</row>
    <row r="74" spans="1:22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</row>
    <row r="75" spans="1:22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</row>
    <row r="76" spans="1:22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</row>
    <row r="77" spans="1:22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</row>
    <row r="78" spans="1:22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</row>
    <row r="79" spans="1:22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</row>
    <row r="80" spans="1:22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</row>
    <row r="81" spans="1:22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</row>
    <row r="82" spans="1:22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</row>
    <row r="83" spans="1:22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</row>
    <row r="84" spans="1:22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</row>
    <row r="85" spans="1:22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</row>
    <row r="86" spans="1:22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</row>
    <row r="87" spans="1:22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</row>
    <row r="88" spans="1:22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</row>
    <row r="89" spans="1:22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</row>
    <row r="91" spans="1:22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</row>
    <row r="92" spans="1:22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</row>
    <row r="93" spans="1:22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</row>
    <row r="94" spans="1:22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</row>
    <row r="95" spans="1:22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</row>
    <row r="96" spans="1:22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</row>
    <row r="97" spans="1:22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</row>
    <row r="98" spans="1:22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</row>
    <row r="99" spans="1:22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</row>
    <row r="100" spans="1:22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</row>
    <row r="102" spans="1:22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</row>
    <row r="103" spans="1:22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</row>
    <row r="104" spans="1:22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</row>
    <row r="105" spans="1:22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</row>
    <row r="106" spans="1:22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</row>
    <row r="107" spans="1:22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</row>
    <row r="108" spans="1:22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</row>
    <row r="109" spans="1:22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</row>
    <row r="110" spans="1:22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</row>
    <row r="111" spans="1:22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</row>
    <row r="112" spans="1:22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</row>
    <row r="113" spans="1:22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</row>
    <row r="114" spans="1:22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</row>
    <row r="115" spans="1:22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</row>
    <row r="116" spans="1:22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</row>
    <row r="117" spans="1:22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</row>
    <row r="118" spans="1:22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</row>
    <row r="119" spans="1:22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</row>
    <row r="120" spans="1:22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</row>
    <row r="121" spans="1:22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</row>
    <row r="122" spans="1:22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</row>
    <row r="123" spans="1:22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</row>
    <row r="124" spans="1:22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</row>
    <row r="125" spans="1:22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</row>
    <row r="126" spans="1:22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</row>
    <row r="127" spans="1:22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</row>
    <row r="128" spans="1:22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</row>
    <row r="129" spans="1:22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</row>
    <row r="130" spans="1:22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</row>
    <row r="131" spans="1:22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</row>
    <row r="132" spans="1:22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</row>
    <row r="133" spans="1:22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</row>
    <row r="134" spans="1:22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</row>
    <row r="135" spans="1:22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</row>
    <row r="136" spans="1:22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</row>
    <row r="137" spans="1:22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</row>
    <row r="139" spans="1:22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</row>
    <row r="140" spans="1:22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</row>
    <row r="141" spans="1:22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</row>
    <row r="142" spans="1:22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</row>
    <row r="143" spans="1:22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</row>
    <row r="144" spans="1:22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</row>
    <row r="145" spans="1:22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</row>
    <row r="146" spans="1:22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</row>
    <row r="147" spans="1:22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</row>
    <row r="148" spans="1:22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</row>
    <row r="149" spans="1:22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</row>
    <row r="150" spans="1:22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</row>
    <row r="152" spans="1:22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</row>
    <row r="153" spans="1:22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</row>
    <row r="154" spans="1:22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</row>
    <row r="155" spans="1:22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</row>
    <row r="156" spans="1:22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</row>
    <row r="157" spans="1:22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</row>
    <row r="158" spans="1:22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</row>
    <row r="159" spans="1:22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</row>
    <row r="160" spans="1:22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</row>
    <row r="161" spans="1:22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</row>
    <row r="162" spans="1:22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</row>
    <row r="163" spans="1:22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</row>
    <row r="164" spans="1:22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</row>
    <row r="165" spans="1:22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</row>
    <row r="166" spans="1:22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</row>
    <row r="167" spans="1:22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</row>
    <row r="168" spans="1:22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</row>
    <row r="169" spans="1:22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</row>
    <row r="170" spans="1:22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</row>
    <row r="171" spans="1:22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</row>
    <row r="172" spans="1:22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</row>
    <row r="173" spans="1:22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</row>
    <row r="174" spans="1:22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</row>
    <row r="175" spans="1:22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</row>
    <row r="176" spans="1:22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</row>
    <row r="177" spans="1:22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</row>
    <row r="178" spans="1:22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</row>
    <row r="179" spans="1:22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</row>
    <row r="180" spans="1:22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</row>
    <row r="181" spans="1:22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</row>
    <row r="182" spans="1:22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</row>
    <row r="183" spans="1:22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</row>
    <row r="184" spans="1:22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</row>
    <row r="185" spans="1:22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</row>
    <row r="187" spans="1:22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</row>
    <row r="188" spans="1:22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</row>
    <row r="189" spans="1:22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</row>
    <row r="190" spans="1:22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</row>
    <row r="191" spans="1:22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</row>
    <row r="192" spans="1:22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</row>
    <row r="193" spans="1:22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</row>
    <row r="194" spans="1:22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</row>
    <row r="195" spans="1:22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</row>
    <row r="196" spans="1:22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</row>
    <row r="197" spans="1:22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</row>
    <row r="198" spans="1:22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</row>
    <row r="199" spans="1:22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</row>
    <row r="200" spans="1:22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</row>
    <row r="202" spans="1:22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</row>
    <row r="203" spans="1:22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</row>
    <row r="204" spans="1:22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</row>
    <row r="205" spans="1:22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</row>
    <row r="206" spans="1:22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</row>
    <row r="207" spans="1:22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</row>
    <row r="208" spans="1:22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</row>
    <row r="209" spans="1:22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</row>
    <row r="210" spans="1:22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</row>
    <row r="211" spans="1:22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</row>
    <row r="212" spans="1:22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</row>
    <row r="213" spans="1:22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</row>
    <row r="214" spans="1:22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</row>
    <row r="215" spans="1:22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</row>
    <row r="216" spans="1:22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</row>
    <row r="217" spans="1:22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</row>
    <row r="218" spans="1:22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</row>
    <row r="219" spans="1:22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</row>
    <row r="220" spans="1:22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</row>
    <row r="221" spans="1:22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</row>
    <row r="222" spans="1:22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</row>
    <row r="223" spans="1:22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</row>
    <row r="224" spans="1:22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</row>
    <row r="225" spans="1:22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</row>
    <row r="226" spans="1:22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</row>
    <row r="227" spans="1:22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</row>
    <row r="228" spans="1:22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</row>
    <row r="229" spans="1:22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</row>
    <row r="230" spans="1:22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</row>
    <row r="231" spans="1:22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</row>
    <row r="232" spans="1:22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</row>
    <row r="233" spans="1:22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</row>
    <row r="235" spans="1:22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</row>
    <row r="236" spans="1:22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</row>
    <row r="237" spans="1:22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</row>
    <row r="238" spans="1:22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</row>
    <row r="239" spans="1:22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</row>
    <row r="240" spans="1:22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</row>
    <row r="241" spans="1:22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</row>
    <row r="242" spans="1:22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</row>
    <row r="243" spans="1:22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</row>
    <row r="244" spans="1:22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</row>
    <row r="245" spans="1:22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</row>
    <row r="246" spans="1:22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</row>
    <row r="247" spans="1:22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</row>
    <row r="248" spans="1:22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</row>
    <row r="249" spans="1:22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</row>
    <row r="250" spans="1:22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</row>
    <row r="252" spans="1:22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</row>
    <row r="253" spans="1:22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</row>
    <row r="254" spans="1:22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</row>
    <row r="255" spans="1:22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</row>
    <row r="256" spans="1:22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</row>
    <row r="257" spans="1:22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</row>
    <row r="258" spans="1:22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</row>
    <row r="259" spans="1:22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</row>
    <row r="260" spans="1:22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</row>
    <row r="261" spans="1:22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</row>
    <row r="262" spans="1:22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</row>
    <row r="263" spans="1:22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</row>
    <row r="264" spans="1:22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</row>
    <row r="265" spans="1:22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</row>
    <row r="266" spans="1:22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</row>
    <row r="267" spans="1:22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</row>
    <row r="268" spans="1:22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</row>
    <row r="269" spans="1:22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</row>
    <row r="270" spans="1:22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</row>
    <row r="271" spans="1:22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</row>
    <row r="272" spans="1:22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</row>
    <row r="273" spans="1:22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</row>
    <row r="274" spans="1:22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</row>
    <row r="275" spans="1:22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</row>
    <row r="276" spans="1:22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</row>
    <row r="277" spans="1:22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</row>
    <row r="278" spans="1:22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</row>
    <row r="279" spans="1:22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</row>
    <row r="280" spans="1:22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</row>
    <row r="281" spans="1:22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</row>
    <row r="283" spans="1:22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</row>
    <row r="284" spans="1:22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</row>
    <row r="285" spans="1:22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</row>
    <row r="286" spans="1:22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</row>
    <row r="287" spans="1:22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</row>
    <row r="288" spans="1:22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</row>
    <row r="289" spans="1:22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</row>
    <row r="290" spans="1:22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</row>
    <row r="291" spans="1:22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</row>
    <row r="292" spans="1:22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</row>
    <row r="293" spans="1:22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</row>
    <row r="294" spans="1:22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</row>
    <row r="295" spans="1:22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</row>
    <row r="296" spans="1:22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</row>
    <row r="297" spans="1:22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</row>
    <row r="298" spans="1:22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</row>
    <row r="299" spans="1:22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</row>
    <row r="300" spans="1:22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</row>
    <row r="302" spans="1:22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</row>
    <row r="303" spans="1:22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</row>
    <row r="304" spans="1:22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</row>
    <row r="305" spans="1:22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</row>
    <row r="306" spans="1:22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</row>
    <row r="307" spans="1:22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</row>
    <row r="308" spans="1:22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</row>
    <row r="309" spans="1:22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</row>
    <row r="310" spans="1:22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</row>
    <row r="311" spans="1:22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</row>
    <row r="312" spans="1:22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</row>
    <row r="313" spans="1:22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</row>
    <row r="314" spans="1:22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</row>
    <row r="315" spans="1:22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</row>
    <row r="316" spans="1:22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</row>
    <row r="317" spans="1:22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</row>
    <row r="318" spans="1:22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</row>
    <row r="319" spans="1:22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</row>
    <row r="320" spans="1:22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</row>
    <row r="321" spans="1:22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</row>
    <row r="322" spans="1:22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</row>
    <row r="323" spans="1:22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</row>
    <row r="324" spans="1:22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</row>
    <row r="325" spans="1:22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</row>
    <row r="326" spans="1:22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</row>
    <row r="327" spans="1:22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</row>
    <row r="328" spans="1:22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</row>
    <row r="329" spans="1:22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</row>
    <row r="331" spans="1:22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</row>
    <row r="332" spans="1:22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</row>
    <row r="333" spans="1:22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</row>
    <row r="334" spans="1:22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</row>
    <row r="335" spans="1:22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</row>
    <row r="336" spans="1:22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</row>
    <row r="337" spans="1:22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</row>
    <row r="338" spans="1:22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</row>
    <row r="339" spans="1:22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</row>
    <row r="340" spans="1:22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</row>
    <row r="341" spans="1:22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</row>
    <row r="342" spans="1:22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</row>
    <row r="343" spans="1:22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</row>
    <row r="344" spans="1:22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</row>
    <row r="345" spans="1:22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</row>
    <row r="346" spans="1:22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</row>
    <row r="347" spans="1:22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</row>
    <row r="348" spans="1:22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</row>
    <row r="349" spans="1:22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</row>
    <row r="350" spans="1:22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</row>
    <row r="352" spans="1:22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</row>
    <row r="353" spans="1:22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</row>
    <row r="354" spans="1:22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</row>
    <row r="355" spans="1:22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</row>
    <row r="356" spans="1:22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</row>
    <row r="357" spans="1:22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</row>
    <row r="358" spans="1:22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</row>
    <row r="359" spans="1:22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</row>
    <row r="360" spans="1:22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</row>
    <row r="361" spans="1:22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</row>
    <row r="362" spans="1:22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</row>
    <row r="363" spans="1:22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</row>
    <row r="364" spans="1:22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</row>
    <row r="365" spans="1:22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</row>
    <row r="366" spans="1:22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</row>
    <row r="367" spans="1:22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</row>
    <row r="368" spans="1:22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</row>
    <row r="369" spans="1:22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</row>
    <row r="370" spans="1:22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</row>
    <row r="371" spans="1:22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</row>
    <row r="372" spans="1:22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</row>
    <row r="373" spans="1:22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</row>
    <row r="374" spans="1:22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</row>
    <row r="375" spans="1:22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</row>
    <row r="376" spans="1:22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</row>
    <row r="377" spans="1:22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</row>
    <row r="379" spans="1:22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</row>
    <row r="380" spans="1:22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</row>
    <row r="381" spans="1:22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</row>
    <row r="382" spans="1:22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</row>
    <row r="383" spans="1:22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</row>
    <row r="384" spans="1:22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</row>
    <row r="385" spans="1:22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</row>
    <row r="386" spans="1:22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</row>
    <row r="387" spans="1:22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</row>
    <row r="388" spans="1:22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</row>
    <row r="389" spans="1:22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</row>
    <row r="390" spans="1:22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</row>
    <row r="391" spans="1:22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</row>
    <row r="392" spans="1:22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</row>
    <row r="393" spans="1:22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</row>
    <row r="394" spans="1:22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</row>
    <row r="395" spans="1:22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</row>
    <row r="396" spans="1:22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</row>
    <row r="397" spans="1:22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</row>
    <row r="398" spans="1:22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</row>
    <row r="399" spans="1:22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</row>
    <row r="400" spans="1:22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</row>
    <row r="402" spans="1:22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</row>
    <row r="403" spans="1:22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</row>
    <row r="404" spans="1:22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</row>
    <row r="405" spans="1:22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</row>
    <row r="406" spans="1:22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</row>
    <row r="407" spans="1:22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</row>
    <row r="408" spans="1:22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</row>
    <row r="409" spans="1:22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</row>
    <row r="410" spans="1:22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</row>
    <row r="411" spans="1:22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</row>
    <row r="412" spans="1:22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</row>
    <row r="413" spans="1:22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</row>
    <row r="414" spans="1:22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</row>
    <row r="415" spans="1:22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</row>
    <row r="416" spans="1:22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</row>
    <row r="417" spans="1:22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</row>
    <row r="418" spans="1:22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</row>
    <row r="419" spans="1:22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</row>
    <row r="420" spans="1:22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</row>
    <row r="421" spans="1:22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</row>
    <row r="422" spans="1:22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</row>
    <row r="423" spans="1:22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</row>
    <row r="424" spans="1:22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</row>
    <row r="425" spans="1:22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</row>
    <row r="427" spans="1:22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</row>
    <row r="428" spans="1:22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</row>
    <row r="429" spans="1:22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</row>
    <row r="430" spans="1:22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</row>
    <row r="431" spans="1:22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</row>
    <row r="432" spans="1:22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</row>
    <row r="433" spans="1:22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</row>
    <row r="434" spans="1:22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</row>
    <row r="435" spans="1:22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</row>
    <row r="436" spans="1:22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</row>
    <row r="437" spans="1:22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</row>
    <row r="438" spans="1:22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</row>
    <row r="439" spans="1:22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</row>
    <row r="440" spans="1:22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</row>
    <row r="441" spans="1:22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</row>
    <row r="442" spans="1:22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</row>
    <row r="443" spans="1:22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</row>
    <row r="444" spans="1:22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</row>
    <row r="445" spans="1:22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</row>
    <row r="446" spans="1:22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</row>
    <row r="447" spans="1:22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</row>
    <row r="448" spans="1:22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</row>
    <row r="449" spans="1:22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</row>
    <row r="450" spans="1:22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</row>
    <row r="452" spans="1:22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</row>
    <row r="453" spans="1:22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</row>
    <row r="454" spans="1:22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</row>
    <row r="455" spans="1:22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</row>
    <row r="456" spans="1:22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</row>
    <row r="457" spans="1:22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</row>
    <row r="458" spans="1:22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</row>
    <row r="459" spans="1:22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</row>
    <row r="460" spans="1:22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</row>
    <row r="461" spans="1:22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</row>
    <row r="462" spans="1:22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</row>
    <row r="463" spans="1:22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</row>
    <row r="464" spans="1:22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</row>
    <row r="465" spans="1:22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</row>
    <row r="466" spans="1:22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</row>
    <row r="467" spans="1:22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</row>
    <row r="468" spans="1:22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</row>
    <row r="469" spans="1:22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</row>
    <row r="470" spans="1:22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</row>
    <row r="471" spans="1:22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</row>
    <row r="472" spans="1:22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</row>
    <row r="473" spans="1:22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  <row r="481" spans="1:22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</row>
    <row r="482" spans="1:22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</row>
    <row r="483" spans="1:22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</row>
    <row r="484" spans="1:22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</row>
    <row r="485" spans="1:22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</row>
    <row r="486" spans="1:22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</row>
    <row r="487" spans="1:22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</row>
    <row r="488" spans="1:22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</row>
    <row r="489" spans="1:22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</row>
    <row r="490" spans="1:22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</row>
    <row r="491" spans="1:22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</row>
    <row r="492" spans="1:22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</row>
    <row r="493" spans="1:22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</row>
    <row r="494" spans="1:22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</row>
    <row r="495" spans="1:22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</row>
    <row r="496" spans="1:22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</row>
    <row r="497" spans="1:22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</row>
    <row r="498" spans="1:22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</row>
    <row r="499" spans="1:22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</row>
    <row r="500" spans="1:22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</row>
    <row r="502" spans="1:22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</row>
    <row r="503" spans="1:22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</row>
    <row r="504" spans="1:22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</row>
    <row r="505" spans="1:22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</row>
    <row r="506" spans="1:22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</row>
    <row r="507" spans="1:22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</row>
    <row r="508" spans="1:22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</row>
    <row r="509" spans="1:22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</row>
    <row r="510" spans="1:22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</row>
    <row r="511" spans="1:22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</row>
    <row r="512" spans="1:22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</row>
    <row r="513" spans="1:22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</row>
    <row r="514" spans="1:22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</row>
    <row r="515" spans="1:22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</row>
    <row r="516" spans="1:22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</row>
    <row r="517" spans="1:22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</row>
    <row r="518" spans="1:22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</row>
    <row r="519" spans="1:22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</row>
    <row r="520" spans="1:22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</row>
    <row r="521" spans="1:22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</row>
    <row r="522" spans="1:22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</row>
    <row r="523" spans="1:22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</row>
    <row r="524" spans="1:22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</row>
    <row r="525" spans="1:22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</row>
    <row r="526" spans="1:22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</row>
    <row r="527" spans="1:22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</row>
    <row r="528" spans="1:22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</row>
    <row r="529" spans="1:22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</row>
    <row r="530" spans="1:22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</row>
    <row r="531" spans="1:22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</row>
    <row r="532" spans="1:22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</row>
    <row r="533" spans="1:22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</row>
    <row r="534" spans="1:22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</row>
    <row r="535" spans="1:22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</row>
    <row r="536" spans="1:22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</row>
    <row r="537" spans="1:22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</row>
    <row r="538" spans="1:22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</row>
    <row r="539" spans="1:22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</row>
    <row r="540" spans="1:22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</row>
    <row r="541" spans="1:22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</row>
    <row r="542" spans="1:22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</row>
    <row r="543" spans="1:22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</row>
    <row r="544" spans="1:22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</row>
    <row r="545" spans="1:22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</row>
    <row r="546" spans="1:22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</row>
    <row r="547" spans="1:22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</row>
    <row r="548" spans="1:22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</row>
    <row r="549" spans="1:22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</row>
    <row r="550" spans="1:22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</row>
    <row r="552" spans="1:22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</row>
    <row r="553" spans="1:22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</row>
    <row r="554" spans="1:22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</row>
    <row r="555" spans="1:22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</row>
    <row r="556" spans="1:22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</row>
    <row r="557" spans="1:22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</row>
    <row r="558" spans="1:22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</row>
    <row r="559" spans="1:22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</row>
    <row r="560" spans="1:22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</row>
    <row r="561" spans="1:22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</row>
    <row r="562" spans="1:22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</row>
    <row r="563" spans="1:22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</row>
    <row r="564" spans="1:22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</row>
    <row r="565" spans="1:22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</row>
    <row r="566" spans="1:22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</row>
    <row r="567" spans="1:22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</row>
    <row r="568" spans="1:22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</row>
    <row r="569" spans="1:22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</row>
    <row r="570" spans="1:22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</row>
    <row r="571" spans="1:22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</row>
    <row r="572" spans="1:22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</row>
    <row r="573" spans="1:22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</row>
    <row r="574" spans="1:22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</row>
    <row r="575" spans="1:22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</row>
    <row r="576" spans="1:22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</row>
    <row r="577" spans="1:22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</row>
    <row r="578" spans="1:22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</row>
    <row r="579" spans="1:22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</row>
    <row r="580" spans="1:22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</row>
    <row r="581" spans="1:22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</row>
    <row r="582" spans="1:22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</row>
    <row r="583" spans="1:22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</row>
    <row r="584" spans="1:22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</row>
    <row r="585" spans="1:22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</row>
    <row r="586" spans="1:22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</row>
    <row r="587" spans="1:22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</row>
    <row r="588" spans="1:22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</row>
    <row r="589" spans="1:22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</row>
    <row r="590" spans="1:22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</row>
    <row r="591" spans="1:22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</row>
    <row r="592" spans="1:22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</row>
    <row r="593" spans="1:22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</row>
    <row r="594" spans="1:22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</row>
    <row r="595" spans="1:22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</row>
    <row r="596" spans="1:22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</row>
    <row r="597" spans="1:22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</row>
    <row r="598" spans="1:22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</row>
    <row r="599" spans="1:22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</row>
    <row r="600" spans="1:22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</row>
    <row r="602" spans="1:22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</row>
    <row r="603" spans="1:22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</row>
    <row r="604" spans="1:22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</row>
    <row r="605" spans="1:22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</row>
    <row r="606" spans="1:22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</row>
    <row r="607" spans="1:22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</row>
    <row r="608" spans="1:22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</row>
    <row r="609" spans="1:22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</row>
    <row r="610" spans="1:22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</row>
    <row r="611" spans="1:22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</row>
    <row r="612" spans="1:22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</row>
    <row r="613" spans="1:22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</row>
    <row r="614" spans="1:22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</row>
    <row r="615" spans="1:22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</row>
    <row r="616" spans="1:22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</row>
    <row r="617" spans="1:22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</row>
    <row r="618" spans="1:22" x14ac:dyDescent="0.3">
      <c r="A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</row>
    <row r="619" spans="1:22" x14ac:dyDescent="0.3">
      <c r="A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</row>
  </sheetData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B698B1BC-7DF5-4A1F-B5A7-B175E07ACC65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B4:E6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05AF9-5966-4420-95BD-F29E88CC6B42}">
  <sheetPr codeName="Sayfa5"/>
  <dimension ref="A1:O28"/>
  <sheetViews>
    <sheetView topLeftCell="B1" workbookViewId="0">
      <selection activeCell="O1" sqref="O1"/>
    </sheetView>
  </sheetViews>
  <sheetFormatPr defaultRowHeight="14.4" x14ac:dyDescent="0.3"/>
  <cols>
    <col min="1" max="1" width="18.77734375" bestFit="1" customWidth="1"/>
    <col min="2" max="2" width="23.33203125" bestFit="1" customWidth="1"/>
    <col min="3" max="3" width="16.88671875" customWidth="1"/>
    <col min="6" max="6" width="10" bestFit="1" customWidth="1"/>
    <col min="7" max="7" width="13.6640625" bestFit="1" customWidth="1"/>
    <col min="8" max="8" width="14" customWidth="1"/>
    <col min="9" max="9" width="22.109375" customWidth="1"/>
    <col min="10" max="10" width="19.88671875" customWidth="1"/>
    <col min="11" max="11" width="18.88671875" bestFit="1" customWidth="1"/>
    <col min="13" max="13" width="20.77734375" bestFit="1" customWidth="1"/>
    <col min="14" max="14" width="13.21875" bestFit="1" customWidth="1"/>
    <col min="15" max="15" width="25.109375" customWidth="1"/>
  </cols>
  <sheetData>
    <row r="1" spans="1:15" x14ac:dyDescent="0.3">
      <c r="B1" s="17"/>
      <c r="C1" s="25" t="s">
        <v>54</v>
      </c>
      <c r="D1" s="25"/>
      <c r="E1" s="25"/>
      <c r="F1" s="25"/>
      <c r="G1" s="25"/>
      <c r="H1" s="25"/>
      <c r="I1" s="2" t="s">
        <v>60</v>
      </c>
      <c r="J1" s="26" t="s">
        <v>59</v>
      </c>
      <c r="K1" s="26"/>
      <c r="L1" s="26"/>
      <c r="M1" s="26"/>
      <c r="N1" s="26"/>
      <c r="O1" s="2" t="s">
        <v>60</v>
      </c>
    </row>
    <row r="2" spans="1:15" x14ac:dyDescent="0.3">
      <c r="A2" s="11" t="s">
        <v>47</v>
      </c>
      <c r="B2" s="18" t="s">
        <v>67</v>
      </c>
      <c r="C2" s="15" t="s">
        <v>48</v>
      </c>
      <c r="D2" s="15" t="s">
        <v>49</v>
      </c>
      <c r="E2" s="15" t="s">
        <v>50</v>
      </c>
      <c r="F2" s="15" t="s">
        <v>51</v>
      </c>
      <c r="G2" s="15" t="s">
        <v>52</v>
      </c>
      <c r="H2" s="15" t="s">
        <v>53</v>
      </c>
      <c r="I2" s="16"/>
      <c r="J2" s="15" t="s">
        <v>55</v>
      </c>
      <c r="K2" s="15" t="s">
        <v>56</v>
      </c>
      <c r="L2" s="15" t="s">
        <v>50</v>
      </c>
      <c r="M2" s="15" t="s">
        <v>57</v>
      </c>
      <c r="N2" s="15" t="s">
        <v>58</v>
      </c>
      <c r="O2" s="2"/>
    </row>
    <row r="3" spans="1:15" x14ac:dyDescent="0.3">
      <c r="A3" s="10" t="s">
        <v>4</v>
      </c>
      <c r="B3" s="2" t="s">
        <v>1</v>
      </c>
      <c r="C3" s="20">
        <f t="shared" ref="C3:H3" ca="1" si="0">RANDBETWEEN(1,5)</f>
        <v>1</v>
      </c>
      <c r="D3" s="20">
        <f t="shared" ca="1" si="0"/>
        <v>5</v>
      </c>
      <c r="E3" s="20">
        <f t="shared" ca="1" si="0"/>
        <v>3</v>
      </c>
      <c r="F3" s="20">
        <f t="shared" ca="1" si="0"/>
        <v>4</v>
      </c>
      <c r="G3" s="20">
        <f t="shared" ca="1" si="0"/>
        <v>1</v>
      </c>
      <c r="H3" s="20">
        <f t="shared" ca="1" si="0"/>
        <v>4</v>
      </c>
      <c r="I3" s="21">
        <f ca="1">SUM(Tablo3[[#This Row],[Mesleki Yeterlilik]],Tablo3[[#This Row],[Sütun2]],Tablo3[[#This Row],[Sütun3]],Tablo3[[#This Row],[Sütun4]],Tablo3[[#This Row],[Sütun5]],Tablo3[[#This Row],[Sütun6]])</f>
        <v>18</v>
      </c>
      <c r="J3" s="20">
        <f t="shared" ref="J3:J23" ca="1" si="1">RANDBETWEEN(1,5)</f>
        <v>3</v>
      </c>
      <c r="K3" s="20">
        <f t="shared" ref="K3:N18" ca="1" si="2">RANDBETWEEN(1,5)</f>
        <v>4</v>
      </c>
      <c r="L3" s="20">
        <f t="shared" ca="1" si="2"/>
        <v>2</v>
      </c>
      <c r="M3" s="20">
        <f t="shared" ca="1" si="2"/>
        <v>4</v>
      </c>
      <c r="N3" s="20">
        <f t="shared" ca="1" si="2"/>
        <v>5</v>
      </c>
      <c r="O3" s="21">
        <v>7</v>
      </c>
    </row>
    <row r="4" spans="1:15" x14ac:dyDescent="0.3">
      <c r="A4" s="10" t="s">
        <v>5</v>
      </c>
      <c r="B4" s="2" t="s">
        <v>1</v>
      </c>
      <c r="C4" s="20">
        <f t="shared" ref="C4:H23" ca="1" si="3">RANDBETWEEN(1,5)</f>
        <v>1</v>
      </c>
      <c r="D4" s="20">
        <f t="shared" ca="1" si="3"/>
        <v>5</v>
      </c>
      <c r="E4" s="20">
        <f t="shared" ca="1" si="3"/>
        <v>3</v>
      </c>
      <c r="F4" s="20">
        <f t="shared" ca="1" si="3"/>
        <v>2</v>
      </c>
      <c r="G4" s="20">
        <f t="shared" ca="1" si="3"/>
        <v>1</v>
      </c>
      <c r="H4" s="20">
        <f t="shared" ca="1" si="3"/>
        <v>2</v>
      </c>
      <c r="I4" s="21">
        <f ca="1">SUM(Tablo3[[#This Row],[Mesleki Yeterlilik]],Tablo3[[#This Row],[Sütun2]],Tablo3[[#This Row],[Sütun3]],Tablo3[[#This Row],[Sütun4]],Tablo3[[#This Row],[Sütun5]],Tablo3[[#This Row],[Sütun6]])</f>
        <v>14</v>
      </c>
      <c r="J4" s="20">
        <f t="shared" ca="1" si="1"/>
        <v>4</v>
      </c>
      <c r="K4" s="20">
        <f t="shared" ca="1" si="2"/>
        <v>3</v>
      </c>
      <c r="L4" s="20">
        <f t="shared" ca="1" si="2"/>
        <v>2</v>
      </c>
      <c r="M4" s="20">
        <f t="shared" ca="1" si="2"/>
        <v>4</v>
      </c>
      <c r="N4" s="20">
        <f t="shared" ca="1" si="2"/>
        <v>3</v>
      </c>
      <c r="O4" s="21">
        <f t="shared" ref="O4:O23" ca="1" si="4">SUM(J5,K5,L5,M5,N5,)</f>
        <v>15</v>
      </c>
    </row>
    <row r="5" spans="1:15" x14ac:dyDescent="0.3">
      <c r="A5" s="10" t="s">
        <v>6</v>
      </c>
      <c r="B5" s="2" t="s">
        <v>8</v>
      </c>
      <c r="C5" s="20">
        <f t="shared" ca="1" si="3"/>
        <v>1</v>
      </c>
      <c r="D5" s="20">
        <f t="shared" ca="1" si="3"/>
        <v>2</v>
      </c>
      <c r="E5" s="20">
        <f t="shared" ca="1" si="3"/>
        <v>1</v>
      </c>
      <c r="F5" s="20">
        <f t="shared" ca="1" si="3"/>
        <v>5</v>
      </c>
      <c r="G5" s="20">
        <f t="shared" ca="1" si="3"/>
        <v>3</v>
      </c>
      <c r="H5" s="20">
        <f t="shared" ca="1" si="3"/>
        <v>5</v>
      </c>
      <c r="I5" s="21">
        <f ca="1">SUM(Tablo3[[#This Row],[Mesleki Yeterlilik]],Tablo3[[#This Row],[Sütun2]],Tablo3[[#This Row],[Sütun3]],Tablo3[[#This Row],[Sütun4]],Tablo3[[#This Row],[Sütun5]],Tablo3[[#This Row],[Sütun6]])</f>
        <v>17</v>
      </c>
      <c r="J5" s="20">
        <f t="shared" ca="1" si="1"/>
        <v>1</v>
      </c>
      <c r="K5" s="20">
        <f t="shared" ca="1" si="2"/>
        <v>5</v>
      </c>
      <c r="L5" s="20">
        <f t="shared" ca="1" si="2"/>
        <v>3</v>
      </c>
      <c r="M5" s="20">
        <f t="shared" ca="1" si="2"/>
        <v>1</v>
      </c>
      <c r="N5" s="20">
        <f t="shared" ca="1" si="2"/>
        <v>5</v>
      </c>
      <c r="O5" s="21">
        <f t="shared" ca="1" si="4"/>
        <v>22</v>
      </c>
    </row>
    <row r="6" spans="1:15" x14ac:dyDescent="0.3">
      <c r="A6" s="10" t="s">
        <v>9</v>
      </c>
      <c r="B6" s="2" t="s">
        <v>10</v>
      </c>
      <c r="C6" s="20">
        <f t="shared" ca="1" si="3"/>
        <v>2</v>
      </c>
      <c r="D6" s="20">
        <f t="shared" ca="1" si="3"/>
        <v>2</v>
      </c>
      <c r="E6" s="20">
        <f t="shared" ca="1" si="3"/>
        <v>5</v>
      </c>
      <c r="F6" s="20">
        <f t="shared" ca="1" si="3"/>
        <v>5</v>
      </c>
      <c r="G6" s="20">
        <f t="shared" ca="1" si="3"/>
        <v>3</v>
      </c>
      <c r="H6" s="20">
        <f t="shared" ca="1" si="3"/>
        <v>4</v>
      </c>
      <c r="I6" s="21">
        <f ca="1">SUM(Tablo3[[#This Row],[Mesleki Yeterlilik]],Tablo3[[#This Row],[Sütun2]],Tablo3[[#This Row],[Sütun3]],Tablo3[[#This Row],[Sütun4]],Tablo3[[#This Row],[Sütun5]],Tablo3[[#This Row],[Sütun6]])</f>
        <v>21</v>
      </c>
      <c r="J6" s="20">
        <f t="shared" ca="1" si="1"/>
        <v>4</v>
      </c>
      <c r="K6" s="20">
        <f t="shared" ca="1" si="2"/>
        <v>5</v>
      </c>
      <c r="L6" s="20">
        <f t="shared" ca="1" si="2"/>
        <v>4</v>
      </c>
      <c r="M6" s="20">
        <f t="shared" ca="1" si="2"/>
        <v>5</v>
      </c>
      <c r="N6" s="20">
        <f t="shared" ca="1" si="2"/>
        <v>4</v>
      </c>
      <c r="O6" s="21">
        <f t="shared" ca="1" si="4"/>
        <v>9</v>
      </c>
    </row>
    <row r="7" spans="1:15" x14ac:dyDescent="0.3">
      <c r="A7" s="10" t="s">
        <v>11</v>
      </c>
      <c r="B7" s="2" t="s">
        <v>12</v>
      </c>
      <c r="C7" s="20">
        <f t="shared" ca="1" si="3"/>
        <v>1</v>
      </c>
      <c r="D7" s="20">
        <f t="shared" ca="1" si="3"/>
        <v>1</v>
      </c>
      <c r="E7" s="20">
        <f t="shared" ca="1" si="3"/>
        <v>4</v>
      </c>
      <c r="F7" s="20">
        <f t="shared" ca="1" si="3"/>
        <v>5</v>
      </c>
      <c r="G7" s="20">
        <f t="shared" ca="1" si="3"/>
        <v>5</v>
      </c>
      <c r="H7" s="20">
        <f t="shared" ca="1" si="3"/>
        <v>3</v>
      </c>
      <c r="I7" s="21">
        <f ca="1">SUM(Tablo3[[#This Row],[Mesleki Yeterlilik]],Tablo3[[#This Row],[Sütun2]],Tablo3[[#This Row],[Sütun3]],Tablo3[[#This Row],[Sütun4]],Tablo3[[#This Row],[Sütun5]],Tablo3[[#This Row],[Sütun6]])</f>
        <v>19</v>
      </c>
      <c r="J7" s="20">
        <f t="shared" ca="1" si="1"/>
        <v>3</v>
      </c>
      <c r="K7" s="20">
        <f t="shared" ca="1" si="2"/>
        <v>1</v>
      </c>
      <c r="L7" s="20">
        <f t="shared" ca="1" si="2"/>
        <v>3</v>
      </c>
      <c r="M7" s="20">
        <f t="shared" ca="1" si="2"/>
        <v>1</v>
      </c>
      <c r="N7" s="20">
        <f t="shared" ca="1" si="2"/>
        <v>1</v>
      </c>
      <c r="O7" s="21">
        <f t="shared" ca="1" si="4"/>
        <v>17</v>
      </c>
    </row>
    <row r="8" spans="1:15" x14ac:dyDescent="0.3">
      <c r="A8" s="10" t="s">
        <v>13</v>
      </c>
      <c r="B8" s="2" t="s">
        <v>14</v>
      </c>
      <c r="C8" s="20">
        <f t="shared" ca="1" si="3"/>
        <v>4</v>
      </c>
      <c r="D8" s="20">
        <f t="shared" ca="1" si="3"/>
        <v>4</v>
      </c>
      <c r="E8" s="20">
        <f t="shared" ca="1" si="3"/>
        <v>3</v>
      </c>
      <c r="F8" s="20">
        <f t="shared" ca="1" si="3"/>
        <v>5</v>
      </c>
      <c r="G8" s="20">
        <f t="shared" ca="1" si="3"/>
        <v>1</v>
      </c>
      <c r="H8" s="20">
        <f t="shared" ca="1" si="3"/>
        <v>2</v>
      </c>
      <c r="I8" s="21">
        <f ca="1">SUM(Tablo3[[#This Row],[Mesleki Yeterlilik]],Tablo3[[#This Row],[Sütun2]],Tablo3[[#This Row],[Sütun3]],Tablo3[[#This Row],[Sütun4]],Tablo3[[#This Row],[Sütun5]],Tablo3[[#This Row],[Sütun6]])</f>
        <v>19</v>
      </c>
      <c r="J8" s="20">
        <f t="shared" ca="1" si="1"/>
        <v>2</v>
      </c>
      <c r="K8" s="20">
        <f t="shared" ca="1" si="2"/>
        <v>4</v>
      </c>
      <c r="L8" s="20">
        <f t="shared" ca="1" si="2"/>
        <v>4</v>
      </c>
      <c r="M8" s="20">
        <f t="shared" ca="1" si="2"/>
        <v>4</v>
      </c>
      <c r="N8" s="20">
        <f t="shared" ca="1" si="2"/>
        <v>3</v>
      </c>
      <c r="O8" s="21">
        <f t="shared" ca="1" si="4"/>
        <v>16</v>
      </c>
    </row>
    <row r="9" spans="1:15" x14ac:dyDescent="0.3">
      <c r="A9" s="10" t="s">
        <v>15</v>
      </c>
      <c r="B9" s="2" t="s">
        <v>16</v>
      </c>
      <c r="C9" s="20">
        <f t="shared" ca="1" si="3"/>
        <v>1</v>
      </c>
      <c r="D9" s="20">
        <f t="shared" ca="1" si="3"/>
        <v>3</v>
      </c>
      <c r="E9" s="20">
        <f t="shared" ca="1" si="3"/>
        <v>2</v>
      </c>
      <c r="F9" s="20">
        <f t="shared" ca="1" si="3"/>
        <v>3</v>
      </c>
      <c r="G9" s="20">
        <f t="shared" ca="1" si="3"/>
        <v>5</v>
      </c>
      <c r="H9" s="20">
        <f t="shared" ca="1" si="3"/>
        <v>5</v>
      </c>
      <c r="I9" s="21">
        <f ca="1">SUM(Tablo3[[#This Row],[Mesleki Yeterlilik]],Tablo3[[#This Row],[Sütun2]],Tablo3[[#This Row],[Sütun3]],Tablo3[[#This Row],[Sütun4]],Tablo3[[#This Row],[Sütun5]],Tablo3[[#This Row],[Sütun6]])</f>
        <v>19</v>
      </c>
      <c r="J9" s="20">
        <f t="shared" ca="1" si="1"/>
        <v>4</v>
      </c>
      <c r="K9" s="20">
        <f t="shared" ca="1" si="2"/>
        <v>4</v>
      </c>
      <c r="L9" s="20">
        <f t="shared" ca="1" si="2"/>
        <v>5</v>
      </c>
      <c r="M9" s="20">
        <f t="shared" ca="1" si="2"/>
        <v>1</v>
      </c>
      <c r="N9" s="20">
        <f t="shared" ca="1" si="2"/>
        <v>2</v>
      </c>
      <c r="O9" s="21">
        <f t="shared" ca="1" si="4"/>
        <v>19</v>
      </c>
    </row>
    <row r="10" spans="1:15" x14ac:dyDescent="0.3">
      <c r="A10" s="10" t="s">
        <v>17</v>
      </c>
      <c r="B10" s="2" t="s">
        <v>18</v>
      </c>
      <c r="C10" s="20">
        <f t="shared" ca="1" si="3"/>
        <v>2</v>
      </c>
      <c r="D10" s="20">
        <f t="shared" ca="1" si="3"/>
        <v>4</v>
      </c>
      <c r="E10" s="20">
        <f t="shared" ca="1" si="3"/>
        <v>5</v>
      </c>
      <c r="F10" s="20">
        <f t="shared" ca="1" si="3"/>
        <v>3</v>
      </c>
      <c r="G10" s="20">
        <f t="shared" ca="1" si="3"/>
        <v>2</v>
      </c>
      <c r="H10" s="20">
        <f t="shared" ca="1" si="3"/>
        <v>4</v>
      </c>
      <c r="I10" s="21">
        <f ca="1">SUM(Tablo3[[#This Row],[Mesleki Yeterlilik]],Tablo3[[#This Row],[Sütun2]],Tablo3[[#This Row],[Sütun3]],Tablo3[[#This Row],[Sütun4]],Tablo3[[#This Row],[Sütun5]],Tablo3[[#This Row],[Sütun6]])</f>
        <v>20</v>
      </c>
      <c r="J10" s="20">
        <f t="shared" ca="1" si="1"/>
        <v>4</v>
      </c>
      <c r="K10" s="20">
        <f t="shared" ca="1" si="2"/>
        <v>5</v>
      </c>
      <c r="L10" s="20">
        <f t="shared" ca="1" si="2"/>
        <v>5</v>
      </c>
      <c r="M10" s="20">
        <f t="shared" ca="1" si="2"/>
        <v>2</v>
      </c>
      <c r="N10" s="20">
        <f t="shared" ca="1" si="2"/>
        <v>3</v>
      </c>
      <c r="O10" s="21">
        <f t="shared" ca="1" si="4"/>
        <v>18</v>
      </c>
    </row>
    <row r="11" spans="1:15" x14ac:dyDescent="0.3">
      <c r="A11" s="10" t="s">
        <v>19</v>
      </c>
      <c r="B11" s="2" t="s">
        <v>20</v>
      </c>
      <c r="C11" s="20">
        <f t="shared" ca="1" si="3"/>
        <v>1</v>
      </c>
      <c r="D11" s="20">
        <f t="shared" ca="1" si="3"/>
        <v>1</v>
      </c>
      <c r="E11" s="20">
        <f t="shared" ca="1" si="3"/>
        <v>3</v>
      </c>
      <c r="F11" s="20">
        <f t="shared" ca="1" si="3"/>
        <v>5</v>
      </c>
      <c r="G11" s="20">
        <f t="shared" ca="1" si="3"/>
        <v>4</v>
      </c>
      <c r="H11" s="20">
        <f t="shared" ca="1" si="3"/>
        <v>4</v>
      </c>
      <c r="I11" s="21">
        <f ca="1">SUM(Tablo3[[#This Row],[Mesleki Yeterlilik]],Tablo3[[#This Row],[Sütun2]],Tablo3[[#This Row],[Sütun3]],Tablo3[[#This Row],[Sütun4]],Tablo3[[#This Row],[Sütun5]],Tablo3[[#This Row],[Sütun6]])</f>
        <v>18</v>
      </c>
      <c r="J11" s="20">
        <f t="shared" ca="1" si="1"/>
        <v>2</v>
      </c>
      <c r="K11" s="20">
        <f t="shared" ca="1" si="2"/>
        <v>5</v>
      </c>
      <c r="L11" s="20">
        <f t="shared" ca="1" si="2"/>
        <v>3</v>
      </c>
      <c r="M11" s="20">
        <f t="shared" ca="1" si="2"/>
        <v>3</v>
      </c>
      <c r="N11" s="20">
        <f t="shared" ca="1" si="2"/>
        <v>5</v>
      </c>
      <c r="O11" s="21">
        <f t="shared" ca="1" si="4"/>
        <v>16</v>
      </c>
    </row>
    <row r="12" spans="1:15" x14ac:dyDescent="0.3">
      <c r="A12" s="10" t="s">
        <v>21</v>
      </c>
      <c r="B12" s="2" t="s">
        <v>10</v>
      </c>
      <c r="C12" s="20">
        <f t="shared" ca="1" si="3"/>
        <v>3</v>
      </c>
      <c r="D12" s="20">
        <f t="shared" ca="1" si="3"/>
        <v>5</v>
      </c>
      <c r="E12" s="20">
        <f t="shared" ca="1" si="3"/>
        <v>2</v>
      </c>
      <c r="F12" s="20">
        <f t="shared" ca="1" si="3"/>
        <v>4</v>
      </c>
      <c r="G12" s="20">
        <f t="shared" ca="1" si="3"/>
        <v>1</v>
      </c>
      <c r="H12" s="20">
        <f t="shared" ca="1" si="3"/>
        <v>1</v>
      </c>
      <c r="I12" s="21">
        <f ca="1">SUM(Tablo3[[#This Row],[Mesleki Yeterlilik]],Tablo3[[#This Row],[Sütun2]],Tablo3[[#This Row],[Sütun3]],Tablo3[[#This Row],[Sütun4]],Tablo3[[#This Row],[Sütun5]],Tablo3[[#This Row],[Sütun6]])</f>
        <v>16</v>
      </c>
      <c r="J12" s="20">
        <f t="shared" ca="1" si="1"/>
        <v>3</v>
      </c>
      <c r="K12" s="20">
        <f t="shared" ca="1" si="2"/>
        <v>3</v>
      </c>
      <c r="L12" s="20">
        <f t="shared" ca="1" si="2"/>
        <v>4</v>
      </c>
      <c r="M12" s="20">
        <f t="shared" ca="1" si="2"/>
        <v>2</v>
      </c>
      <c r="N12" s="20">
        <f t="shared" ca="1" si="2"/>
        <v>4</v>
      </c>
      <c r="O12" s="21">
        <f t="shared" ca="1" si="4"/>
        <v>17</v>
      </c>
    </row>
    <row r="13" spans="1:15" x14ac:dyDescent="0.3">
      <c r="A13" s="10" t="s">
        <v>22</v>
      </c>
      <c r="B13" s="2" t="s">
        <v>23</v>
      </c>
      <c r="C13" s="20">
        <f t="shared" ca="1" si="3"/>
        <v>1</v>
      </c>
      <c r="D13" s="20">
        <f t="shared" ca="1" si="3"/>
        <v>1</v>
      </c>
      <c r="E13" s="20">
        <f t="shared" ca="1" si="3"/>
        <v>4</v>
      </c>
      <c r="F13" s="20">
        <f t="shared" ca="1" si="3"/>
        <v>3</v>
      </c>
      <c r="G13" s="20">
        <f t="shared" ca="1" si="3"/>
        <v>2</v>
      </c>
      <c r="H13" s="20">
        <f t="shared" ca="1" si="3"/>
        <v>2</v>
      </c>
      <c r="I13" s="21">
        <f ca="1">SUM(Tablo3[[#This Row],[Mesleki Yeterlilik]],Tablo3[[#This Row],[Sütun2]],Tablo3[[#This Row],[Sütun3]],Tablo3[[#This Row],[Sütun4]],Tablo3[[#This Row],[Sütun5]],Tablo3[[#This Row],[Sütun6]])</f>
        <v>13</v>
      </c>
      <c r="J13" s="20">
        <f t="shared" ca="1" si="1"/>
        <v>5</v>
      </c>
      <c r="K13" s="20">
        <f t="shared" ca="1" si="2"/>
        <v>3</v>
      </c>
      <c r="L13" s="20">
        <f t="shared" ca="1" si="2"/>
        <v>4</v>
      </c>
      <c r="M13" s="20">
        <f t="shared" ca="1" si="2"/>
        <v>4</v>
      </c>
      <c r="N13" s="20">
        <f t="shared" ca="1" si="2"/>
        <v>1</v>
      </c>
      <c r="O13" s="21">
        <f t="shared" ca="1" si="4"/>
        <v>19</v>
      </c>
    </row>
    <row r="14" spans="1:15" x14ac:dyDescent="0.3">
      <c r="A14" s="10" t="s">
        <v>24</v>
      </c>
      <c r="B14" s="2" t="s">
        <v>14</v>
      </c>
      <c r="C14" s="20">
        <f t="shared" ca="1" si="3"/>
        <v>5</v>
      </c>
      <c r="D14" s="20">
        <f t="shared" ca="1" si="3"/>
        <v>5</v>
      </c>
      <c r="E14" s="20">
        <f t="shared" ca="1" si="3"/>
        <v>1</v>
      </c>
      <c r="F14" s="20">
        <f t="shared" ca="1" si="3"/>
        <v>4</v>
      </c>
      <c r="G14" s="20">
        <f t="shared" ca="1" si="3"/>
        <v>1</v>
      </c>
      <c r="H14" s="20">
        <f t="shared" ca="1" si="3"/>
        <v>1</v>
      </c>
      <c r="I14" s="21">
        <f ca="1">SUM(Tablo3[[#This Row],[Mesleki Yeterlilik]],Tablo3[[#This Row],[Sütun2]],Tablo3[[#This Row],[Sütun3]],Tablo3[[#This Row],[Sütun4]],Tablo3[[#This Row],[Sütun5]],Tablo3[[#This Row],[Sütun6]])</f>
        <v>17</v>
      </c>
      <c r="J14" s="20">
        <f t="shared" ca="1" si="1"/>
        <v>5</v>
      </c>
      <c r="K14" s="20">
        <f t="shared" ca="1" si="2"/>
        <v>4</v>
      </c>
      <c r="L14" s="20">
        <f t="shared" ca="1" si="2"/>
        <v>5</v>
      </c>
      <c r="M14" s="20">
        <f t="shared" ca="1" si="2"/>
        <v>3</v>
      </c>
      <c r="N14" s="20">
        <f t="shared" ca="1" si="2"/>
        <v>2</v>
      </c>
      <c r="O14" s="21">
        <f t="shared" ca="1" si="4"/>
        <v>18</v>
      </c>
    </row>
    <row r="15" spans="1:15" x14ac:dyDescent="0.3">
      <c r="A15" s="10" t="s">
        <v>25</v>
      </c>
      <c r="B15" s="2" t="s">
        <v>8</v>
      </c>
      <c r="C15" s="20">
        <f t="shared" ca="1" si="3"/>
        <v>1</v>
      </c>
      <c r="D15" s="20">
        <f t="shared" ca="1" si="3"/>
        <v>2</v>
      </c>
      <c r="E15" s="20">
        <f t="shared" ca="1" si="3"/>
        <v>4</v>
      </c>
      <c r="F15" s="20">
        <f t="shared" ca="1" si="3"/>
        <v>4</v>
      </c>
      <c r="G15" s="20">
        <f t="shared" ca="1" si="3"/>
        <v>4</v>
      </c>
      <c r="H15" s="20">
        <f t="shared" ca="1" si="3"/>
        <v>5</v>
      </c>
      <c r="I15" s="21">
        <f ca="1">SUM(Tablo3[[#This Row],[Mesleki Yeterlilik]],Tablo3[[#This Row],[Sütun2]],Tablo3[[#This Row],[Sütun3]],Tablo3[[#This Row],[Sütun4]],Tablo3[[#This Row],[Sütun5]],Tablo3[[#This Row],[Sütun6]])</f>
        <v>20</v>
      </c>
      <c r="J15" s="20">
        <f t="shared" ca="1" si="1"/>
        <v>3</v>
      </c>
      <c r="K15" s="20">
        <f t="shared" ca="1" si="2"/>
        <v>4</v>
      </c>
      <c r="L15" s="20">
        <f t="shared" ca="1" si="2"/>
        <v>4</v>
      </c>
      <c r="M15" s="20">
        <f t="shared" ca="1" si="2"/>
        <v>3</v>
      </c>
      <c r="N15" s="20">
        <f t="shared" ca="1" si="2"/>
        <v>4</v>
      </c>
      <c r="O15" s="21">
        <f t="shared" ca="1" si="4"/>
        <v>15</v>
      </c>
    </row>
    <row r="16" spans="1:15" x14ac:dyDescent="0.3">
      <c r="A16" s="10" t="s">
        <v>26</v>
      </c>
      <c r="B16" s="2" t="s">
        <v>12</v>
      </c>
      <c r="C16" s="20">
        <f t="shared" ca="1" si="3"/>
        <v>5</v>
      </c>
      <c r="D16" s="20">
        <f t="shared" ca="1" si="3"/>
        <v>3</v>
      </c>
      <c r="E16" s="20">
        <f t="shared" ca="1" si="3"/>
        <v>4</v>
      </c>
      <c r="F16" s="20">
        <f t="shared" ca="1" si="3"/>
        <v>2</v>
      </c>
      <c r="G16" s="20">
        <f t="shared" ca="1" si="3"/>
        <v>4</v>
      </c>
      <c r="H16" s="20">
        <f t="shared" ca="1" si="3"/>
        <v>5</v>
      </c>
      <c r="I16" s="21">
        <f ca="1">SUM(Tablo3[[#This Row],[Mesleki Yeterlilik]],Tablo3[[#This Row],[Sütun2]],Tablo3[[#This Row],[Sütun3]],Tablo3[[#This Row],[Sütun4]],Tablo3[[#This Row],[Sütun5]],Tablo3[[#This Row],[Sütun6]])</f>
        <v>23</v>
      </c>
      <c r="J16" s="20">
        <f t="shared" ca="1" si="1"/>
        <v>4</v>
      </c>
      <c r="K16" s="20">
        <f t="shared" ca="1" si="2"/>
        <v>2</v>
      </c>
      <c r="L16" s="20">
        <f t="shared" ca="1" si="2"/>
        <v>3</v>
      </c>
      <c r="M16" s="20">
        <f t="shared" ca="1" si="2"/>
        <v>3</v>
      </c>
      <c r="N16" s="20">
        <f t="shared" ca="1" si="2"/>
        <v>3</v>
      </c>
      <c r="O16" s="21">
        <f t="shared" ca="1" si="4"/>
        <v>15</v>
      </c>
    </row>
    <row r="17" spans="1:15" x14ac:dyDescent="0.3">
      <c r="A17" s="10" t="s">
        <v>27</v>
      </c>
      <c r="B17" s="2" t="s">
        <v>28</v>
      </c>
      <c r="C17" s="20">
        <f t="shared" ca="1" si="3"/>
        <v>2</v>
      </c>
      <c r="D17" s="20">
        <f t="shared" ca="1" si="3"/>
        <v>2</v>
      </c>
      <c r="E17" s="20">
        <f t="shared" ca="1" si="3"/>
        <v>4</v>
      </c>
      <c r="F17" s="20">
        <f t="shared" ca="1" si="3"/>
        <v>5</v>
      </c>
      <c r="G17" s="20">
        <f t="shared" ca="1" si="3"/>
        <v>1</v>
      </c>
      <c r="H17" s="20">
        <f t="shared" ca="1" si="3"/>
        <v>5</v>
      </c>
      <c r="I17" s="21">
        <f ca="1">SUM(Tablo3[[#This Row],[Mesleki Yeterlilik]],Tablo3[[#This Row],[Sütun2]],Tablo3[[#This Row],[Sütun3]],Tablo3[[#This Row],[Sütun4]],Tablo3[[#This Row],[Sütun5]],Tablo3[[#This Row],[Sütun6]])</f>
        <v>19</v>
      </c>
      <c r="J17" s="20">
        <f t="shared" ca="1" si="1"/>
        <v>3</v>
      </c>
      <c r="K17" s="20">
        <f t="shared" ca="1" si="2"/>
        <v>5</v>
      </c>
      <c r="L17" s="20">
        <f t="shared" ca="1" si="2"/>
        <v>2</v>
      </c>
      <c r="M17" s="20">
        <f t="shared" ca="1" si="2"/>
        <v>2</v>
      </c>
      <c r="N17" s="20">
        <f t="shared" ca="1" si="2"/>
        <v>3</v>
      </c>
      <c r="O17" s="21">
        <f t="shared" ca="1" si="4"/>
        <v>18</v>
      </c>
    </row>
    <row r="18" spans="1:15" x14ac:dyDescent="0.3">
      <c r="A18" s="10" t="s">
        <v>29</v>
      </c>
      <c r="B18" s="2" t="s">
        <v>14</v>
      </c>
      <c r="C18" s="20">
        <f t="shared" ca="1" si="3"/>
        <v>4</v>
      </c>
      <c r="D18" s="20">
        <f t="shared" ca="1" si="3"/>
        <v>5</v>
      </c>
      <c r="E18" s="20">
        <f t="shared" ca="1" si="3"/>
        <v>1</v>
      </c>
      <c r="F18" s="20">
        <f t="shared" ca="1" si="3"/>
        <v>1</v>
      </c>
      <c r="G18" s="20">
        <f t="shared" ca="1" si="3"/>
        <v>5</v>
      </c>
      <c r="H18" s="20">
        <f t="shared" ca="1" si="3"/>
        <v>5</v>
      </c>
      <c r="I18" s="21">
        <f ca="1">SUM(Tablo3[[#This Row],[Mesleki Yeterlilik]],Tablo3[[#This Row],[Sütun2]],Tablo3[[#This Row],[Sütun3]],Tablo3[[#This Row],[Sütun4]],Tablo3[[#This Row],[Sütun5]],Tablo3[[#This Row],[Sütun6]])</f>
        <v>21</v>
      </c>
      <c r="J18" s="20">
        <f t="shared" ca="1" si="1"/>
        <v>4</v>
      </c>
      <c r="K18" s="20">
        <f t="shared" ca="1" si="2"/>
        <v>4</v>
      </c>
      <c r="L18" s="20">
        <f t="shared" ca="1" si="2"/>
        <v>3</v>
      </c>
      <c r="M18" s="20">
        <f t="shared" ca="1" si="2"/>
        <v>4</v>
      </c>
      <c r="N18" s="20">
        <f t="shared" ca="1" si="2"/>
        <v>3</v>
      </c>
      <c r="O18" s="21">
        <f t="shared" ca="1" si="4"/>
        <v>17</v>
      </c>
    </row>
    <row r="19" spans="1:15" x14ac:dyDescent="0.3">
      <c r="A19" s="10" t="s">
        <v>30</v>
      </c>
      <c r="B19" s="2" t="s">
        <v>23</v>
      </c>
      <c r="C19" s="20">
        <f t="shared" ca="1" si="3"/>
        <v>4</v>
      </c>
      <c r="D19" s="20">
        <f t="shared" ca="1" si="3"/>
        <v>2</v>
      </c>
      <c r="E19" s="20">
        <f t="shared" ca="1" si="3"/>
        <v>4</v>
      </c>
      <c r="F19" s="20">
        <f t="shared" ca="1" si="3"/>
        <v>1</v>
      </c>
      <c r="G19" s="20">
        <f t="shared" ca="1" si="3"/>
        <v>3</v>
      </c>
      <c r="H19" s="20">
        <f t="shared" ca="1" si="3"/>
        <v>2</v>
      </c>
      <c r="I19" s="21">
        <f ca="1">SUM(Tablo3[[#This Row],[Mesleki Yeterlilik]],Tablo3[[#This Row],[Sütun2]],Tablo3[[#This Row],[Sütun3]],Tablo3[[#This Row],[Sütun4]],Tablo3[[#This Row],[Sütun5]],Tablo3[[#This Row],[Sütun6]])</f>
        <v>16</v>
      </c>
      <c r="J19" s="20">
        <f t="shared" ca="1" si="1"/>
        <v>4</v>
      </c>
      <c r="K19" s="20">
        <f t="shared" ref="K19:N23" ca="1" si="5">RANDBETWEEN(1,5)</f>
        <v>3</v>
      </c>
      <c r="L19" s="20">
        <f t="shared" ca="1" si="5"/>
        <v>2</v>
      </c>
      <c r="M19" s="20">
        <f t="shared" ca="1" si="5"/>
        <v>4</v>
      </c>
      <c r="N19" s="20">
        <f t="shared" ca="1" si="5"/>
        <v>4</v>
      </c>
      <c r="O19" s="21">
        <f t="shared" ca="1" si="4"/>
        <v>14</v>
      </c>
    </row>
    <row r="20" spans="1:15" x14ac:dyDescent="0.3">
      <c r="A20" s="10" t="s">
        <v>31</v>
      </c>
      <c r="B20" s="2" t="s">
        <v>23</v>
      </c>
      <c r="C20" s="20">
        <f t="shared" ca="1" si="3"/>
        <v>5</v>
      </c>
      <c r="D20" s="20">
        <f t="shared" ca="1" si="3"/>
        <v>4</v>
      </c>
      <c r="E20" s="20">
        <f t="shared" ca="1" si="3"/>
        <v>4</v>
      </c>
      <c r="F20" s="20">
        <f t="shared" ca="1" si="3"/>
        <v>5</v>
      </c>
      <c r="G20" s="20">
        <f t="shared" ca="1" si="3"/>
        <v>3</v>
      </c>
      <c r="H20" s="20">
        <f t="shared" ca="1" si="3"/>
        <v>4</v>
      </c>
      <c r="I20" s="21">
        <f ca="1">SUM(Tablo3[[#This Row],[Mesleki Yeterlilik]],Tablo3[[#This Row],[Sütun2]],Tablo3[[#This Row],[Sütun3]],Tablo3[[#This Row],[Sütun4]],Tablo3[[#This Row],[Sütun5]],Tablo3[[#This Row],[Sütun6]])</f>
        <v>25</v>
      </c>
      <c r="J20" s="20">
        <f t="shared" ca="1" si="1"/>
        <v>3</v>
      </c>
      <c r="K20" s="20">
        <f t="shared" ca="1" si="5"/>
        <v>4</v>
      </c>
      <c r="L20" s="20">
        <f t="shared" ca="1" si="5"/>
        <v>2</v>
      </c>
      <c r="M20" s="20">
        <f t="shared" ca="1" si="5"/>
        <v>4</v>
      </c>
      <c r="N20" s="20">
        <f t="shared" ca="1" si="5"/>
        <v>1</v>
      </c>
      <c r="O20" s="21">
        <f t="shared" ca="1" si="4"/>
        <v>12</v>
      </c>
    </row>
    <row r="21" spans="1:15" x14ac:dyDescent="0.3">
      <c r="A21" s="10" t="s">
        <v>32</v>
      </c>
      <c r="B21" s="2" t="s">
        <v>23</v>
      </c>
      <c r="C21" s="20">
        <f t="shared" ca="1" si="3"/>
        <v>1</v>
      </c>
      <c r="D21" s="20">
        <f t="shared" ca="1" si="3"/>
        <v>3</v>
      </c>
      <c r="E21" s="20">
        <f t="shared" ca="1" si="3"/>
        <v>1</v>
      </c>
      <c r="F21" s="20">
        <f t="shared" ca="1" si="3"/>
        <v>2</v>
      </c>
      <c r="G21" s="20">
        <f t="shared" ca="1" si="3"/>
        <v>3</v>
      </c>
      <c r="H21" s="20">
        <f t="shared" ca="1" si="3"/>
        <v>4</v>
      </c>
      <c r="I21" s="21">
        <f ca="1">SUM(Tablo3[[#This Row],[Mesleki Yeterlilik]],Tablo3[[#This Row],[Sütun2]],Tablo3[[#This Row],[Sütun3]],Tablo3[[#This Row],[Sütun4]],Tablo3[[#This Row],[Sütun5]],Tablo3[[#This Row],[Sütun6]])</f>
        <v>14</v>
      </c>
      <c r="J21" s="20">
        <f t="shared" ca="1" si="1"/>
        <v>1</v>
      </c>
      <c r="K21" s="20">
        <f t="shared" ca="1" si="5"/>
        <v>3</v>
      </c>
      <c r="L21" s="20">
        <f t="shared" ca="1" si="5"/>
        <v>5</v>
      </c>
      <c r="M21" s="20">
        <f t="shared" ca="1" si="5"/>
        <v>1</v>
      </c>
      <c r="N21" s="20">
        <f t="shared" ca="1" si="5"/>
        <v>2</v>
      </c>
      <c r="O21" s="21">
        <f t="shared" ca="1" si="4"/>
        <v>14</v>
      </c>
    </row>
    <row r="22" spans="1:15" x14ac:dyDescent="0.3">
      <c r="A22" s="10" t="s">
        <v>33</v>
      </c>
      <c r="B22" s="2" t="s">
        <v>14</v>
      </c>
      <c r="C22" s="20">
        <f t="shared" ca="1" si="3"/>
        <v>5</v>
      </c>
      <c r="D22" s="20">
        <f t="shared" ca="1" si="3"/>
        <v>3</v>
      </c>
      <c r="E22" s="20">
        <f t="shared" ca="1" si="3"/>
        <v>4</v>
      </c>
      <c r="F22" s="20">
        <f t="shared" ca="1" si="3"/>
        <v>5</v>
      </c>
      <c r="G22" s="20">
        <f t="shared" ca="1" si="3"/>
        <v>4</v>
      </c>
      <c r="H22" s="20">
        <f t="shared" ca="1" si="3"/>
        <v>4</v>
      </c>
      <c r="I22" s="21">
        <f ca="1">SUM(Tablo3[[#This Row],[Mesleki Yeterlilik]],Tablo3[[#This Row],[Sütun2]],Tablo3[[#This Row],[Sütun3]],Tablo3[[#This Row],[Sütun4]],Tablo3[[#This Row],[Sütun5]],Tablo3[[#This Row],[Sütun6]])</f>
        <v>25</v>
      </c>
      <c r="J22" s="20">
        <f t="shared" ca="1" si="1"/>
        <v>2</v>
      </c>
      <c r="K22" s="20">
        <f t="shared" ca="1" si="5"/>
        <v>2</v>
      </c>
      <c r="L22" s="20">
        <f t="shared" ca="1" si="5"/>
        <v>1</v>
      </c>
      <c r="M22" s="20">
        <f t="shared" ca="1" si="5"/>
        <v>4</v>
      </c>
      <c r="N22" s="20">
        <f t="shared" ca="1" si="5"/>
        <v>5</v>
      </c>
      <c r="O22" s="21">
        <f t="shared" ca="1" si="4"/>
        <v>11</v>
      </c>
    </row>
    <row r="23" spans="1:15" x14ac:dyDescent="0.3">
      <c r="A23" s="10" t="s">
        <v>34</v>
      </c>
      <c r="B23" s="2" t="s">
        <v>20</v>
      </c>
      <c r="C23" s="20">
        <f t="shared" ca="1" si="3"/>
        <v>2</v>
      </c>
      <c r="D23" s="20">
        <f t="shared" ca="1" si="3"/>
        <v>3</v>
      </c>
      <c r="E23" s="20">
        <f t="shared" ca="1" si="3"/>
        <v>5</v>
      </c>
      <c r="F23" s="20">
        <f t="shared" ca="1" si="3"/>
        <v>4</v>
      </c>
      <c r="G23" s="20">
        <f t="shared" ca="1" si="3"/>
        <v>2</v>
      </c>
      <c r="H23" s="20">
        <f t="shared" ca="1" si="3"/>
        <v>1</v>
      </c>
      <c r="I23" s="21">
        <f ca="1">SUM(Tablo3[[#This Row],[Mesleki Yeterlilik]],Tablo3[[#This Row],[Sütun2]],Tablo3[[#This Row],[Sütun3]],Tablo3[[#This Row],[Sütun4]],Tablo3[[#This Row],[Sütun5]],Tablo3[[#This Row],[Sütun6]])</f>
        <v>17</v>
      </c>
      <c r="J23" s="20">
        <f t="shared" ca="1" si="1"/>
        <v>1</v>
      </c>
      <c r="K23" s="20">
        <f t="shared" ca="1" si="5"/>
        <v>5</v>
      </c>
      <c r="L23" s="20">
        <f t="shared" ca="1" si="5"/>
        <v>1</v>
      </c>
      <c r="M23" s="20">
        <f t="shared" ca="1" si="5"/>
        <v>2</v>
      </c>
      <c r="N23" s="20">
        <f t="shared" ca="1" si="5"/>
        <v>2</v>
      </c>
      <c r="O23" s="21">
        <f t="shared" si="4"/>
        <v>0</v>
      </c>
    </row>
    <row r="24" spans="1:15" x14ac:dyDescent="0.3">
      <c r="B24" s="19"/>
    </row>
    <row r="26" spans="1:15" ht="0.6" customHeight="1" x14ac:dyDescent="0.3"/>
    <row r="27" spans="1:15" x14ac:dyDescent="0.3">
      <c r="C27" s="27" t="s">
        <v>61</v>
      </c>
      <c r="D27" s="12">
        <v>1</v>
      </c>
      <c r="E27" s="12">
        <v>2</v>
      </c>
      <c r="F27" s="12">
        <v>3</v>
      </c>
      <c r="G27" s="12">
        <v>4</v>
      </c>
      <c r="H27" s="12">
        <v>5</v>
      </c>
    </row>
    <row r="28" spans="1:15" ht="30" customHeight="1" x14ac:dyDescent="0.3">
      <c r="C28" s="28"/>
      <c r="D28" s="13" t="s">
        <v>64</v>
      </c>
      <c r="E28" s="14" t="s">
        <v>62</v>
      </c>
      <c r="F28" s="14" t="s">
        <v>63</v>
      </c>
      <c r="G28" s="13" t="s">
        <v>65</v>
      </c>
      <c r="H28" s="13" t="s">
        <v>66</v>
      </c>
    </row>
  </sheetData>
  <mergeCells count="3">
    <mergeCell ref="C1:H1"/>
    <mergeCell ref="J1:N1"/>
    <mergeCell ref="C27:C28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69F97-0615-460C-9976-A66A8276FD5B}">
  <sheetPr codeName="Sayfa3"/>
  <dimension ref="A1:AT96"/>
  <sheetViews>
    <sheetView topLeftCell="O1" zoomScale="70" zoomScaleNormal="70" workbookViewId="0">
      <selection activeCell="C14" sqref="C14"/>
    </sheetView>
  </sheetViews>
  <sheetFormatPr defaultRowHeight="14.4" x14ac:dyDescent="0.3"/>
  <cols>
    <col min="1" max="1" width="11.109375" customWidth="1"/>
    <col min="2" max="2" width="20.109375" bestFit="1" customWidth="1"/>
    <col min="23" max="23" width="6.5546875" customWidth="1"/>
    <col min="24" max="24" width="23.88671875" customWidth="1"/>
    <col min="25" max="25" width="16.77734375" customWidth="1"/>
  </cols>
  <sheetData>
    <row r="1" spans="1:4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x14ac:dyDescent="0.3">
      <c r="A3" s="1" t="s">
        <v>43</v>
      </c>
      <c r="B3" s="1" t="s">
        <v>44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46" x14ac:dyDescent="0.3">
      <c r="A4" s="8" t="s">
        <v>7</v>
      </c>
      <c r="B4" s="8">
        <v>11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</row>
    <row r="5" spans="1:46" x14ac:dyDescent="0.3">
      <c r="A5" s="8" t="s">
        <v>0</v>
      </c>
      <c r="B5" s="8">
        <v>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</row>
    <row r="6" spans="1:46" x14ac:dyDescent="0.3">
      <c r="A6" s="29"/>
      <c r="B6" s="29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</row>
    <row r="7" spans="1:46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</row>
    <row r="8" spans="1:4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</row>
    <row r="9" spans="1:46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</row>
    <row r="10" spans="1:46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</row>
    <row r="11" spans="1:46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</row>
    <row r="12" spans="1:4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</row>
    <row r="13" spans="1:46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</row>
    <row r="14" spans="1:46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</row>
    <row r="15" spans="1:46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</row>
    <row r="16" spans="1:46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</row>
    <row r="17" spans="1:4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</row>
    <row r="18" spans="1:4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</row>
    <row r="19" spans="1:4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</row>
    <row r="20" spans="1:4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9" t="s">
        <v>45</v>
      </c>
      <c r="Y20" s="9" t="s">
        <v>46</v>
      </c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</row>
    <row r="21" spans="1:4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t="s">
        <v>18</v>
      </c>
      <c r="Y21" s="5">
        <v>1</v>
      </c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</row>
    <row r="22" spans="1:4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t="s">
        <v>20</v>
      </c>
      <c r="Y22" s="5">
        <v>2</v>
      </c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</row>
    <row r="23" spans="1:4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t="s">
        <v>10</v>
      </c>
      <c r="Y23" s="5">
        <v>2</v>
      </c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</row>
    <row r="24" spans="1:4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t="s">
        <v>12</v>
      </c>
      <c r="Y24" s="5">
        <v>2</v>
      </c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</row>
    <row r="25" spans="1:4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t="s">
        <v>14</v>
      </c>
      <c r="Y25" s="5">
        <v>4</v>
      </c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</row>
    <row r="26" spans="1:4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t="s">
        <v>28</v>
      </c>
      <c r="Y26" s="5">
        <v>1</v>
      </c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</row>
    <row r="27" spans="1:4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t="s">
        <v>16</v>
      </c>
      <c r="Y27" s="5">
        <v>1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</row>
    <row r="28" spans="1:4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t="s">
        <v>8</v>
      </c>
      <c r="Y28" s="5">
        <v>2</v>
      </c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</row>
    <row r="29" spans="1:4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t="s">
        <v>23</v>
      </c>
      <c r="Y29" s="5">
        <v>4</v>
      </c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</row>
    <row r="30" spans="1:4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t="s">
        <v>1</v>
      </c>
      <c r="Y30" s="5">
        <v>3</v>
      </c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</row>
    <row r="31" spans="1:4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</row>
    <row r="32" spans="1:4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</row>
    <row r="33" spans="1:4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</row>
    <row r="34" spans="1:46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</row>
    <row r="35" spans="1:46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</row>
    <row r="36" spans="1:46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</row>
    <row r="37" spans="1:46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</row>
    <row r="38" spans="1:46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</row>
    <row r="39" spans="1:46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</row>
    <row r="40" spans="1:46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</row>
    <row r="41" spans="1:46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</row>
    <row r="42" spans="1:46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</row>
    <row r="43" spans="1:46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</row>
    <row r="44" spans="1:4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</row>
    <row r="45" spans="1:4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</row>
    <row r="46" spans="1:4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</row>
    <row r="47" spans="1:46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</row>
    <row r="48" spans="1:46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</row>
    <row r="49" spans="1:4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</row>
    <row r="50" spans="1:4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</row>
    <row r="51" spans="1:4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</row>
    <row r="52" spans="1:4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</row>
    <row r="53" spans="1:4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</row>
    <row r="88" spans="1:46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</row>
    <row r="89" spans="1:46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</row>
    <row r="90" spans="1:46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</row>
    <row r="91" spans="1:46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</row>
    <row r="92" spans="1:46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</row>
    <row r="93" spans="1:46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</row>
    <row r="94" spans="1:46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</row>
    <row r="95" spans="1:46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</row>
    <row r="96" spans="1:46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</row>
  </sheetData>
  <mergeCells count="1">
    <mergeCell ref="A6:B6"/>
  </mergeCell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Giris</vt:lpstr>
      <vt:lpstr>personelBilgi</vt:lpstr>
      <vt:lpstr>Personel Takip</vt:lpstr>
      <vt:lpstr>Personel Değerlendirme</vt:lpstr>
      <vt:lpstr>Raporlar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Eylem Lalek</dc:creator>
  <cp:lastModifiedBy>EYLEM LALEK</cp:lastModifiedBy>
  <dcterms:created xsi:type="dcterms:W3CDTF">2015-06-05T18:17:20Z</dcterms:created>
  <dcterms:modified xsi:type="dcterms:W3CDTF">2024-06-14T17:08:10Z</dcterms:modified>
</cp:coreProperties>
</file>